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izc\OneDrive\Documentos\POWER-BI\Dashboar_Xbox\"/>
    </mc:Choice>
  </mc:AlternateContent>
  <xr:revisionPtr revIDLastSave="0" documentId="13_ncr:1_{8C1A7725-3331-40CF-9AEB-D334D3AC69EE}" xr6:coauthVersionLast="47" xr6:coauthVersionMax="47" xr10:uidLastSave="{00000000-0000-0000-0000-000000000000}"/>
  <bookViews>
    <workbookView xWindow="-120" yWindow="-120" windowWidth="29040" windowHeight="157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3" l="1"/>
  <c r="K26" i="3"/>
</calcChain>
</file>

<file path=xl/sharedStrings.xml><?xml version="1.0" encoding="utf-8"?>
<sst xmlns="http://schemas.openxmlformats.org/spreadsheetml/2006/main" count="2052" uniqueCount="334">
  <si>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</si>
  <si>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</si>
  <si>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</si>
  <si>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</si>
  <si>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</si>
  <si>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</si>
  <si>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</si>
  <si>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</si>
  <si>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</si>
  <si>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</si>
  <si>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</si>
  <si>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</si>
  <si>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</si>
  <si>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</si>
  <si>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</si>
  <si>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</si>
  <si>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</si>
  <si>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</si>
  <si>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</si>
  <si>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</si>
  <si>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</si>
  <si>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</si>
  <si>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</si>
  <si>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</si>
  <si>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</si>
  <si>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</si>
  <si>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</si>
  <si>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</si>
  <si>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</si>
  <si>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</si>
  <si>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</si>
  <si>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</si>
  <si>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</si>
  <si>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</si>
  <si>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</si>
  <si>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</si>
  <si>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</si>
  <si>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</si>
  <si>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</si>
  <si>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</si>
  <si>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</si>
  <si>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</si>
  <si>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</si>
  <si>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</si>
  <si>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</si>
  <si>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</si>
  <si>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</si>
  <si>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</si>
  <si>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</si>
  <si>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</si>
  <si>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</si>
  <si>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</si>
  <si>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</si>
  <si>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</si>
  <si>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</si>
  <si>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</si>
  <si>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</si>
  <si>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</si>
  <si>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</si>
  <si>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</si>
  <si>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</si>
  <si>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</si>
  <si>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</si>
  <si>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</si>
  <si>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</si>
  <si>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</si>
  <si>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</si>
  <si>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</si>
  <si>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</si>
  <si>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</si>
  <si>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</si>
  <si>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</si>
  <si>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</si>
  <si>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</si>
  <si>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</si>
  <si>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</si>
  <si>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</si>
  <si>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</si>
  <si>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</si>
  <si>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</si>
  <si>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</si>
  <si>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</si>
  <si>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</si>
  <si>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</si>
  <si>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</si>
  <si>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</si>
  <si>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</si>
  <si>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</si>
  <si>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</si>
  <si>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</si>
  <si>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</si>
  <si>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</si>
  <si>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</si>
  <si>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</si>
  <si>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</si>
  <si>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</si>
  <si>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</si>
  <si>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</si>
  <si>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</si>
  <si>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</si>
  <si>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</si>
  <si>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</si>
  <si>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</si>
  <si>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</si>
  <si>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</si>
  <si>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</si>
  <si>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</si>
  <si>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</si>
  <si>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</si>
  <si>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</si>
  <si>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</si>
  <si>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</si>
  <si>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</si>
  <si>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</si>
  <si>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</si>
  <si>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</si>
  <si>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</si>
  <si>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</si>
  <si>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</si>
  <si>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</si>
  <si>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</si>
  <si>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</si>
  <si>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</si>
  <si>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</si>
  <si>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</si>
  <si>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</si>
  <si>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</si>
  <si>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</si>
  <si>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</si>
  <si>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</si>
  <si>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</si>
  <si>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</si>
  <si>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</si>
  <si>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</si>
  <si>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</si>
  <si>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</si>
  <si>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</si>
  <si>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</si>
  <si>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</si>
  <si>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</si>
  <si>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</si>
  <si>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</si>
  <si>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</si>
  <si>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</si>
  <si>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</si>
  <si>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</si>
  <si>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</si>
  <si>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</si>
  <si>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</si>
  <si>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</si>
  <si>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</si>
  <si>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</si>
  <si>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</si>
  <si>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</si>
  <si>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</si>
  <si>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</si>
  <si>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</si>
  <si>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</si>
  <si>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</si>
  <si>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</si>
  <si>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</si>
  <si>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</si>
  <si>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</si>
  <si>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</si>
  <si>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</si>
  <si>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</si>
  <si>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</si>
  <si>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</si>
  <si>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</si>
  <si>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</si>
  <si>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</si>
  <si>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</si>
  <si>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</si>
  <si>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</si>
  <si>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</si>
  <si>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</si>
  <si>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</si>
  <si>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</si>
  <si>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</si>
  <si>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</si>
  <si>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</si>
  <si>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</si>
  <si>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</si>
  <si>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</si>
  <si>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</si>
  <si>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</si>
  <si>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</si>
  <si>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</si>
  <si>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</si>
  <si>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</si>
  <si>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</si>
  <si>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</si>
  <si>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</si>
  <si>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</si>
  <si>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</si>
  <si>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</si>
  <si>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</si>
  <si>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</si>
  <si>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</si>
  <si>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</si>
  <si>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</si>
  <si>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</si>
  <si>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</si>
  <si>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</si>
  <si>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</si>
  <si>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</si>
  <si>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</si>
  <si>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</si>
  <si>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</si>
  <si>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</si>
  <si>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</si>
  <si>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</si>
  <si>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</si>
  <si>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</si>
  <si>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</si>
  <si>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</si>
  <si>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</si>
  <si>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</si>
  <si>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</si>
  <si>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</si>
  <si>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</si>
  <si>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</si>
  <si>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</si>
  <si>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</si>
  <si>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</si>
  <si>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</si>
  <si>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</si>
  <si>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</si>
  <si>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</si>
  <si>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</si>
  <si>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</si>
  <si>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</si>
  <si>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</si>
  <si>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</si>
  <si>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</si>
  <si>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</si>
  <si>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</si>
  <si>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</si>
  <si>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</si>
  <si>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</si>
  <si>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</si>
  <si>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</si>
  <si>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</si>
  <si>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</si>
  <si>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</si>
  <si>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</si>
  <si>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</si>
  <si>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</si>
  <si>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</si>
  <si>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</si>
  <si>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</si>
  <si>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</si>
  <si>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</si>
  <si>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</si>
  <si>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</si>
  <si>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</si>
  <si>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</si>
  <si>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</si>
  <si>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</si>
  <si>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</si>
  <si>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</si>
  <si>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</si>
  <si>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</si>
  <si>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</si>
  <si>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</si>
  <si>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</si>
  <si>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</si>
  <si>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</si>
  <si>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</si>
  <si>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</si>
  <si>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</si>
  <si>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</si>
  <si>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</si>
  <si>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</si>
  <si>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</si>
  <si>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</si>
  <si>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</si>
  <si>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</si>
  <si>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</si>
  <si>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</si>
  <si>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</si>
  <si>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</si>
  <si>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</si>
  <si>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</si>
  <si>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</si>
  <si>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</si>
  <si>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</si>
  <si>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</si>
  <si>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</si>
  <si>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</si>
  <si>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</si>
  <si>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</si>
  <si>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</si>
  <si>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</si>
  <si>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</si>
  <si>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</si>
  <si>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</si>
  <si>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</si>
  <si>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</si>
  <si>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</si>
  <si>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</si>
  <si>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</si>
  <si>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</si>
  <si>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</si>
  <si>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</si>
  <si>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</si>
  <si>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</si>
  <si>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</si>
  <si>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</si>
  <si>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</si>
  <si>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</si>
  <si>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</si>
  <si>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</si>
  <si>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 xml:space="preserve">1- Quanto cada serviço Vendeu? </t>
  </si>
  <si>
    <t>2- Quantas renovações automaticas (e não) são feitas?</t>
  </si>
  <si>
    <t>3- Qual o faturamente de Cada Plano GamePass</t>
  </si>
  <si>
    <t>4- Qual a taxa de adesão as demais assinaturas?</t>
  </si>
  <si>
    <t>Soma de Total Value</t>
  </si>
  <si>
    <t>Rótulos de Linha</t>
  </si>
  <si>
    <t>Total Geral</t>
  </si>
  <si>
    <t>ASSINATURA EA PLAY</t>
  </si>
  <si>
    <t>ASSINATURA MINECRAFT PASS</t>
  </si>
  <si>
    <t>PLANOS</t>
  </si>
  <si>
    <t>Contagem de Name</t>
  </si>
  <si>
    <t>ASSINATURA POR PLANOS ANUAIS</t>
  </si>
  <si>
    <t>FATURAMENTO POR CADA PLANO</t>
  </si>
  <si>
    <t>RENOVAÇÔES AUTOAMTICAS</t>
  </si>
  <si>
    <t>5 - Qual o faturamento por Planos anuais</t>
  </si>
  <si>
    <t xml:space="preserve">TOTAL </t>
  </si>
  <si>
    <t>XBOX GAME PASS SUBSCRIPITIONS SALES</t>
  </si>
  <si>
    <t>(Tudo)</t>
  </si>
  <si>
    <t>Soma de Minecraft Season Pass Price</t>
  </si>
  <si>
    <t>Soma de EA Play Season Pass</t>
  </si>
  <si>
    <t>PERIODO DE APURAÇÃO: 01/01/2024 ATÉ 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</si>
</sst>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2C55E"/>
      <name val="Aptos Narrow"/>
      <family val="2"/>
      <scheme val="minor"/>
    </font>
    <font>
      <b/>
      <sz val="20"/>
      <color rgb="FF22C55E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5BF6A8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8" borderId="0" xfId="0" applyFill="1"/>
    <xf numFmtId="0" fontId="4" fillId="4" borderId="0" xfId="0" applyFont="1" applyFill="1"/>
    <xf numFmtId="0" fontId="0" fillId="0" borderId="0" xfId="0" applyNumberFormat="1"/>
    <xf numFmtId="165" fontId="0" fillId="0" borderId="0" xfId="0" applyNumberFormat="1"/>
    <xf numFmtId="0" fontId="0" fillId="9" borderId="0" xfId="0" applyFill="1"/>
    <xf numFmtId="0" fontId="1" fillId="8" borderId="2" xfId="1" applyFill="1" applyBorder="1"/>
    <xf numFmtId="0" fontId="0" fillId="8" borderId="2" xfId="0" applyFill="1" applyBorder="1"/>
    <xf numFmtId="0" fontId="0" fillId="4" borderId="3" xfId="0" applyFill="1" applyBorder="1"/>
    <xf numFmtId="0" fontId="5" fillId="8" borderId="0" xfId="1" applyFont="1" applyFill="1" applyBorder="1" applyAlignment="1">
      <alignment horizontal="left" indent="10"/>
    </xf>
    <xf numFmtId="0" fontId="1" fillId="8" borderId="0" xfId="1" applyFill="1" applyBorder="1"/>
    <xf numFmtId="0" fontId="6" fillId="8" borderId="2" xfId="0" applyFont="1" applyFill="1" applyBorder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b/>
        <i val="0"/>
        <sz val="12"/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E6E21AF3-9881-40DB-AD10-61BA0192DC5B}">
      <tableStyleElement type="wholeTable" dxfId="15"/>
      <tableStyleElement type="headerRow" dxfId="14"/>
    </tableStyle>
  </tableStyles>
  <colors>
    <mruColors>
      <color rgb="FFE8E6E9"/>
      <color rgb="FF22C55E"/>
      <color rgb="FF9BC848"/>
      <color rgb="FF5BF6A8"/>
      <color rgb="FF2AE6B1"/>
      <color rgb="FF00FF00"/>
      <color rgb="FF000000"/>
      <color rgb="FFE0E0E0"/>
      <color rgb="FFEDEDED"/>
      <color rgb="FFF7F8FC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0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[Dashboard_Xbox.xlsx]C̳álculos!Tabela dinâmica6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9BC848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022926019341033"/>
          <c:y val="3.683323392747205E-2"/>
          <c:w val="0.78147903742088698"/>
          <c:h val="0.8808683195761659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9BC848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C̳álculos!$B$29:$B$32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C̳álculos!$C$29:$C$32</c:f>
              <c:numCache>
                <c:formatCode>_("R$"* #,##0.00_);_("R$"* \(#,##0.00\);_("R$"* "-"??_);_(@_)</c:formatCode>
                <c:ptCount val="3"/>
                <c:pt idx="0">
                  <c:v>1754</c:v>
                </c:pt>
                <c:pt idx="1">
                  <c:v>3571</c:v>
                </c:pt>
                <c:pt idx="2">
                  <c:v>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59-49E2-8C66-CFA94809E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6145792"/>
        <c:axId val="1576146272"/>
      </c:barChart>
      <c:catAx>
        <c:axId val="1576145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6146272"/>
        <c:crosses val="autoZero"/>
        <c:auto val="1"/>
        <c:lblAlgn val="ctr"/>
        <c:lblOffset val="100"/>
        <c:noMultiLvlLbl val="0"/>
      </c:catAx>
      <c:valAx>
        <c:axId val="157614627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576145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[Dashboard_Xbox.xlsx]C̳álculos!Tabela dinâmica7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5121942338576941"/>
          <c:y val="0.15560656525118974"/>
          <c:w val="0.47481882873872688"/>
          <c:h val="0.80436764901059865"/>
        </c:manualLayout>
      </c:layout>
      <c:pieChart>
        <c:varyColors val="1"/>
        <c:ser>
          <c:idx val="0"/>
          <c:order val="0"/>
          <c:tx>
            <c:strRef>
              <c:f>C̳álculos!$I$33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B80-462E-BECF-C16802CBE30E}"/>
              </c:ext>
            </c:extLst>
          </c:dPt>
          <c:dPt>
            <c:idx val="1"/>
            <c:bubble3D val="0"/>
            <c:spPr>
              <a:solidFill>
                <a:srgbClr val="22C55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B80-462E-BECF-C16802CBE3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C̳álculos!$H$34:$H$36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C̳álculos!$I$34:$I$36</c:f>
              <c:numCache>
                <c:formatCode>General</c:formatCode>
                <c:ptCount val="2"/>
                <c:pt idx="0">
                  <c:v>147</c:v>
                </c:pt>
                <c:pt idx="1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80-462E-BECF-C16802CBE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8</xdr:row>
      <xdr:rowOff>0</xdr:rowOff>
    </xdr:from>
    <xdr:to>
      <xdr:col>14</xdr:col>
      <xdr:colOff>304800</xdr:colOff>
      <xdr:row>9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304800</xdr:colOff>
      <xdr:row>9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44824</xdr:colOff>
      <xdr:row>0</xdr:row>
      <xdr:rowOff>134470</xdr:rowOff>
    </xdr:from>
    <xdr:to>
      <xdr:col>3</xdr:col>
      <xdr:colOff>72313</xdr:colOff>
      <xdr:row>2</xdr:row>
      <xdr:rowOff>100851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25CB195-EE0B-4196-846E-4607CEC9E3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34" t="22205" r="72772" b="24074"/>
        <a:stretch>
          <a:fillRect/>
        </a:stretch>
      </xdr:blipFill>
      <xdr:spPr>
        <a:xfrm>
          <a:off x="2095500" y="134470"/>
          <a:ext cx="632607" cy="649940"/>
        </a:xfrm>
        <a:prstGeom prst="rect">
          <a:avLst/>
        </a:prstGeom>
      </xdr:spPr>
    </xdr:pic>
    <xdr:clientData/>
  </xdr:twoCellAnchor>
  <xdr:twoCellAnchor editAs="oneCell">
    <xdr:from>
      <xdr:col>0</xdr:col>
      <xdr:colOff>11206</xdr:colOff>
      <xdr:row>6</xdr:row>
      <xdr:rowOff>79139</xdr:rowOff>
    </xdr:from>
    <xdr:to>
      <xdr:col>0</xdr:col>
      <xdr:colOff>1749518</xdr:colOff>
      <xdr:row>13</xdr:row>
      <xdr:rowOff>30114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PLANOS">
              <a:extLst>
                <a:ext uri="{FF2B5EF4-FFF2-40B4-BE49-F238E27FC236}">
                  <a16:creationId xmlns:a16="http://schemas.microsoft.com/office/drawing/2014/main" id="{3EAA90D3-9926-423B-923C-9D79EE50E8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O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06" y="1793639"/>
              <a:ext cx="1738312" cy="12956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192309</xdr:colOff>
      <xdr:row>3</xdr:row>
      <xdr:rowOff>178594</xdr:rowOff>
    </xdr:from>
    <xdr:to>
      <xdr:col>10</xdr:col>
      <xdr:colOff>202406</xdr:colOff>
      <xdr:row>13</xdr:row>
      <xdr:rowOff>178594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604515AD-C47D-1992-32D9-ED808AFD96B1}"/>
            </a:ext>
          </a:extLst>
        </xdr:cNvPr>
        <xdr:cNvGrpSpPr/>
      </xdr:nvGrpSpPr>
      <xdr:grpSpPr>
        <a:xfrm>
          <a:off x="2007662" y="1108682"/>
          <a:ext cx="4772597" cy="2129118"/>
          <a:chOff x="1998997" y="869157"/>
          <a:chExt cx="5109034" cy="2131218"/>
        </a:xfrm>
      </xdr:grpSpPr>
      <xdr:sp macro="" textlink="">
        <xdr:nvSpPr>
          <xdr:cNvPr id="8" name="Retângulo: Cantos Diagonais Arredondados 7">
            <a:extLst>
              <a:ext uri="{FF2B5EF4-FFF2-40B4-BE49-F238E27FC236}">
                <a16:creationId xmlns:a16="http://schemas.microsoft.com/office/drawing/2014/main" id="{0A413088-34A5-442B-B207-9DA682C50276}"/>
              </a:ext>
            </a:extLst>
          </xdr:cNvPr>
          <xdr:cNvSpPr/>
        </xdr:nvSpPr>
        <xdr:spPr>
          <a:xfrm>
            <a:off x="2045493" y="869157"/>
            <a:ext cx="5060156" cy="2116930"/>
          </a:xfrm>
          <a:prstGeom prst="round2Diag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lvl="2" algn="r"/>
            <a:br>
              <a:rPr lang="en-US" sz="2000" b="1">
                <a:solidFill>
                  <a:schemeClr val="tx1"/>
                </a:solidFill>
              </a:rPr>
            </a:br>
            <a:r>
              <a:rPr lang="en-US" sz="2000" b="1">
                <a:solidFill>
                  <a:schemeClr val="tx1"/>
                </a:solidFill>
              </a:rPr>
              <a:t>TOTAL</a:t>
            </a:r>
            <a:r>
              <a:rPr lang="en-US" sz="2000" b="1" baseline="0">
                <a:solidFill>
                  <a:schemeClr val="tx1"/>
                </a:solidFill>
              </a:rPr>
              <a:t> EA SEASON PASS</a:t>
            </a:r>
            <a:endParaRPr lang="en-US" sz="2000" b="1">
              <a:solidFill>
                <a:schemeClr val="tx1"/>
              </a:solidFill>
            </a:endParaRPr>
          </a:p>
        </xdr:txBody>
      </xdr:sp>
      <xdr:sp macro="" textlink="C̳álculos!I26">
        <xdr:nvSpPr>
          <xdr:cNvPr id="7" name="Retângulo: Cantos Diagonais Arredondados 6">
            <a:extLst>
              <a:ext uri="{FF2B5EF4-FFF2-40B4-BE49-F238E27FC236}">
                <a16:creationId xmlns:a16="http://schemas.microsoft.com/office/drawing/2014/main" id="{6310C1F2-8195-3A25-FDCF-D157961D3FD6}"/>
              </a:ext>
            </a:extLst>
          </xdr:cNvPr>
          <xdr:cNvSpPr/>
        </xdr:nvSpPr>
        <xdr:spPr>
          <a:xfrm>
            <a:off x="2047875" y="1951372"/>
            <a:ext cx="5060156" cy="1049003"/>
          </a:xfrm>
          <a:prstGeom prst="round2DiagRect">
            <a:avLst>
              <a:gd name="adj1" fmla="val 16667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8FB6789-C1C2-44D7-8E36-AF2B7F2748C6}" type="TxLink">
              <a:rPr lang="en-US" sz="4000" b="1" i="0" u="none" strike="noStrike">
                <a:solidFill>
                  <a:srgbClr val="000000"/>
                </a:solidFill>
                <a:latin typeface="Aptos Narrow"/>
              </a:rPr>
              <a:t>R$ 2.940,00</a:t>
            </a:fld>
            <a:endParaRPr lang="pt-BR" sz="23900" b="1">
              <a:latin typeface="+mj-lt"/>
            </a:endParaRPr>
          </a:p>
        </xdr:txBody>
      </xdr:sp>
      <xdr:pic>
        <xdr:nvPicPr>
          <xdr:cNvPr id="13" name="Imagem 12">
            <a:extLst>
              <a:ext uri="{FF2B5EF4-FFF2-40B4-BE49-F238E27FC236}">
                <a16:creationId xmlns:a16="http://schemas.microsoft.com/office/drawing/2014/main" id="{75A6DF85-B7B9-4B16-BBBD-EDBF8A1055B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34011" b="32834"/>
          <a:stretch>
            <a:fillRect/>
          </a:stretch>
        </xdr:blipFill>
        <xdr:spPr>
          <a:xfrm>
            <a:off x="1998997" y="1096065"/>
            <a:ext cx="2226468" cy="738188"/>
          </a:xfrm>
          <a:prstGeom prst="rect">
            <a:avLst/>
          </a:prstGeom>
        </xdr:spPr>
      </xdr:pic>
    </xdr:grpSp>
    <xdr:clientData/>
  </xdr:twoCellAnchor>
  <xdr:twoCellAnchor editAs="absolute">
    <xdr:from>
      <xdr:col>11</xdr:col>
      <xdr:colOff>380998</xdr:colOff>
      <xdr:row>3</xdr:row>
      <xdr:rowOff>119061</xdr:rowOff>
    </xdr:from>
    <xdr:to>
      <xdr:col>19</xdr:col>
      <xdr:colOff>629009</xdr:colOff>
      <xdr:row>13</xdr:row>
      <xdr:rowOff>130969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BD7B3571-3E64-7BBB-124C-B544753DE2E4}"/>
            </a:ext>
          </a:extLst>
        </xdr:cNvPr>
        <xdr:cNvGrpSpPr/>
      </xdr:nvGrpSpPr>
      <xdr:grpSpPr>
        <a:xfrm>
          <a:off x="7563969" y="1049149"/>
          <a:ext cx="5122569" cy="2141026"/>
          <a:chOff x="7210424" y="857250"/>
          <a:chExt cx="5060156" cy="2035969"/>
        </a:xfrm>
      </xdr:grpSpPr>
      <xdr:sp macro="" textlink="">
        <xdr:nvSpPr>
          <xdr:cNvPr id="11" name="Retângulo: Cantos Diagonais Arredondados 10">
            <a:extLst>
              <a:ext uri="{FF2B5EF4-FFF2-40B4-BE49-F238E27FC236}">
                <a16:creationId xmlns:a16="http://schemas.microsoft.com/office/drawing/2014/main" id="{EB8DCB33-31DA-6074-A315-FB54D479F39B}"/>
              </a:ext>
            </a:extLst>
          </xdr:cNvPr>
          <xdr:cNvSpPr/>
        </xdr:nvSpPr>
        <xdr:spPr>
          <a:xfrm>
            <a:off x="7210424" y="857250"/>
            <a:ext cx="5060156" cy="2031205"/>
          </a:xfrm>
          <a:prstGeom prst="round2Diag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br>
              <a:rPr lang="en-US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</a:br>
            <a:r>
              <a:rPr lang="en-US" sz="2000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TOTAL MINECRAFT </a:t>
            </a:r>
            <a:br>
              <a:rPr lang="en-US" sz="2000" b="1">
                <a:solidFill>
                  <a:schemeClr val="tx1"/>
                </a:solidFill>
                <a:latin typeface="+mn-lt"/>
                <a:ea typeface="+mn-ea"/>
                <a:cs typeface="+mn-cs"/>
              </a:rPr>
            </a:br>
            <a:r>
              <a:rPr lang="en-US" sz="2000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SEASON PASS</a:t>
            </a:r>
            <a:endParaRPr lang="pt-BR" sz="2000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  <a:p>
            <a:pPr algn="l"/>
            <a:endParaRPr lang="en-US" sz="6000" b="1">
              <a:latin typeface="+mj-lt"/>
            </a:endParaRPr>
          </a:p>
        </xdr:txBody>
      </xdr:sp>
      <xdr:sp macro="" textlink="C̳álculos!K26">
        <xdr:nvSpPr>
          <xdr:cNvPr id="12" name="Retângulo: Cantos Diagonais Arredondados 11">
            <a:extLst>
              <a:ext uri="{FF2B5EF4-FFF2-40B4-BE49-F238E27FC236}">
                <a16:creationId xmlns:a16="http://schemas.microsoft.com/office/drawing/2014/main" id="{60821E4A-E8FB-E63C-5F17-FC6163165395}"/>
              </a:ext>
            </a:extLst>
          </xdr:cNvPr>
          <xdr:cNvSpPr/>
        </xdr:nvSpPr>
        <xdr:spPr>
          <a:xfrm>
            <a:off x="7215187" y="1914525"/>
            <a:ext cx="5053932" cy="978694"/>
          </a:xfrm>
          <a:prstGeom prst="round2DiagRect">
            <a:avLst>
              <a:gd name="adj1" fmla="val 16667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EE4C8F3-DDC5-45F8-9860-1394392A8555}" type="TxLink">
              <a:rPr lang="en-US" sz="4000" b="1" i="0" u="none" strike="noStrike">
                <a:solidFill>
                  <a:srgbClr val="000000"/>
                </a:solidFill>
                <a:latin typeface="+mj-lt"/>
              </a:rPr>
              <a:t>R$ 3.880,00</a:t>
            </a:fld>
            <a:endParaRPr lang="en-US" sz="4000" b="1">
              <a:latin typeface="+mj-lt"/>
            </a:endParaRPr>
          </a:p>
        </xdr:txBody>
      </xdr:sp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288CD3A4-EA90-4C1C-88A9-8114376964AF}"/>
              </a:ext>
            </a:extLst>
          </xdr:cNvPr>
          <xdr:cNvGrpSpPr/>
        </xdr:nvGrpSpPr>
        <xdr:grpSpPr>
          <a:xfrm>
            <a:off x="7496175" y="1000125"/>
            <a:ext cx="1754981" cy="845344"/>
            <a:chOff x="3495675" y="5400674"/>
            <a:chExt cx="1549476" cy="752476"/>
          </a:xfrm>
        </xdr:grpSpPr>
        <xdr:pic>
          <xdr:nvPicPr>
            <xdr:cNvPr id="15" name="Imagem 14">
              <a:extLst>
                <a:ext uri="{FF2B5EF4-FFF2-40B4-BE49-F238E27FC236}">
                  <a16:creationId xmlns:a16="http://schemas.microsoft.com/office/drawing/2014/main" id="{8DE37D7F-4F51-9128-6D81-4F297E14CAC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6" name="Gráfico 15">
              <a:extLst>
                <a:ext uri="{FF2B5EF4-FFF2-40B4-BE49-F238E27FC236}">
                  <a16:creationId xmlns:a16="http://schemas.microsoft.com/office/drawing/2014/main" id="{3242BB83-4882-A932-7A34-2B64AF2F85B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226219</xdr:colOff>
      <xdr:row>15</xdr:row>
      <xdr:rowOff>119063</xdr:rowOff>
    </xdr:from>
    <xdr:to>
      <xdr:col>19</xdr:col>
      <xdr:colOff>638189</xdr:colOff>
      <xdr:row>37</xdr:row>
      <xdr:rowOff>83344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C71EA351-6682-9B32-9F34-0595D5B90968}"/>
            </a:ext>
          </a:extLst>
        </xdr:cNvPr>
        <xdr:cNvGrpSpPr/>
      </xdr:nvGrpSpPr>
      <xdr:grpSpPr>
        <a:xfrm>
          <a:off x="2041572" y="3559269"/>
          <a:ext cx="10654146" cy="4155281"/>
          <a:chOff x="2041572" y="3312739"/>
          <a:chExt cx="10844646" cy="4155281"/>
        </a:xfrm>
      </xdr:grpSpPr>
      <xdr:sp macro="" textlink="">
        <xdr:nvSpPr>
          <xdr:cNvPr id="5" name="Fluxograma: Processo 4">
            <a:extLst>
              <a:ext uri="{FF2B5EF4-FFF2-40B4-BE49-F238E27FC236}">
                <a16:creationId xmlns:a16="http://schemas.microsoft.com/office/drawing/2014/main" id="{0B287CC8-85D7-A5B4-5079-C75028168225}"/>
              </a:ext>
            </a:extLst>
          </xdr:cNvPr>
          <xdr:cNvSpPr/>
        </xdr:nvSpPr>
        <xdr:spPr>
          <a:xfrm>
            <a:off x="2041572" y="3312739"/>
            <a:ext cx="10840290" cy="3917156"/>
          </a:xfrm>
          <a:prstGeom prst="flowChartProcess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411985F5-D1D2-44E2-BBA6-2075BF91FA87}"/>
              </a:ext>
            </a:extLst>
          </xdr:cNvPr>
          <xdr:cNvGraphicFramePr>
            <a:graphicFrameLocks/>
          </xdr:cNvGraphicFramePr>
        </xdr:nvGraphicFramePr>
        <xdr:xfrm>
          <a:off x="2212683" y="3973647"/>
          <a:ext cx="10580415" cy="349437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22" name="Retângulo: Cantos Diagonais Arredondados 21">
            <a:extLst>
              <a:ext uri="{FF2B5EF4-FFF2-40B4-BE49-F238E27FC236}">
                <a16:creationId xmlns:a16="http://schemas.microsoft.com/office/drawing/2014/main" id="{9A9BA7DC-00B5-4D76-8E21-F8D8417AD6E5}"/>
              </a:ext>
            </a:extLst>
          </xdr:cNvPr>
          <xdr:cNvSpPr/>
        </xdr:nvSpPr>
        <xdr:spPr>
          <a:xfrm>
            <a:off x="2041572" y="3314480"/>
            <a:ext cx="10844646" cy="534040"/>
          </a:xfrm>
          <a:prstGeom prst="round2DiagRect">
            <a:avLst>
              <a:gd name="adj1" fmla="val 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400" b="1" i="0" u="none" strike="noStrike">
                <a:solidFill>
                  <a:srgbClr val="000000"/>
                </a:solidFill>
                <a:latin typeface="Aptos Narrow"/>
              </a:rPr>
              <a:t>TOTAL SUBSCRIPITIONS GAME PASS</a:t>
            </a:r>
          </a:p>
        </xdr:txBody>
      </xdr:sp>
    </xdr:grpSp>
    <xdr:clientData/>
  </xdr:twoCellAnchor>
  <xdr:twoCellAnchor editAs="absolute">
    <xdr:from>
      <xdr:col>0</xdr:col>
      <xdr:colOff>549088</xdr:colOff>
      <xdr:row>0</xdr:row>
      <xdr:rowOff>134471</xdr:rowOff>
    </xdr:from>
    <xdr:to>
      <xdr:col>0</xdr:col>
      <xdr:colOff>1244413</xdr:colOff>
      <xdr:row>2</xdr:row>
      <xdr:rowOff>146237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290CE63C-ACEA-4E32-8684-F68FB6540924}"/>
            </a:ext>
          </a:extLst>
        </xdr:cNvPr>
        <xdr:cNvSpPr/>
      </xdr:nvSpPr>
      <xdr:spPr>
        <a:xfrm>
          <a:off x="549088" y="134471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89647</xdr:colOff>
      <xdr:row>3</xdr:row>
      <xdr:rowOff>56029</xdr:rowOff>
    </xdr:from>
    <xdr:to>
      <xdr:col>1</xdr:col>
      <xdr:colOff>78441</xdr:colOff>
      <xdr:row>4</xdr:row>
      <xdr:rowOff>168088</xdr:rowOff>
    </xdr:to>
    <xdr:sp macro="" textlink="">
      <xdr:nvSpPr>
        <xdr:cNvPr id="26" name="Seta: Pentágono 25">
          <a:extLst>
            <a:ext uri="{FF2B5EF4-FFF2-40B4-BE49-F238E27FC236}">
              <a16:creationId xmlns:a16="http://schemas.microsoft.com/office/drawing/2014/main" id="{774E3179-78A0-1D97-8448-5C3C10871791}"/>
            </a:ext>
          </a:extLst>
        </xdr:cNvPr>
        <xdr:cNvSpPr/>
      </xdr:nvSpPr>
      <xdr:spPr>
        <a:xfrm>
          <a:off x="89647" y="986117"/>
          <a:ext cx="1804147" cy="302559"/>
        </a:xfrm>
        <a:prstGeom prst="homePlate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 b="1">
              <a:solidFill>
                <a:sysClr val="windowText" lastClr="000000"/>
              </a:solidFill>
            </a:rPr>
            <a:t>BEM</a:t>
          </a:r>
          <a:r>
            <a:rPr lang="pt-BR" sz="1400" b="1" baseline="0">
              <a:solidFill>
                <a:sysClr val="windowText" lastClr="000000"/>
              </a:solidFill>
            </a:rPr>
            <a:t>- VINDO JERSON</a:t>
          </a:r>
          <a:endParaRPr lang="pt-BR" sz="14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20</xdr:col>
      <xdr:colOff>33617</xdr:colOff>
      <xdr:row>15</xdr:row>
      <xdr:rowOff>134469</xdr:rowOff>
    </xdr:from>
    <xdr:to>
      <xdr:col>31</xdr:col>
      <xdr:colOff>280147</xdr:colOff>
      <xdr:row>36</xdr:row>
      <xdr:rowOff>56029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18DF26F4-B2B3-9C8B-98DD-8A0916FC2397}"/>
            </a:ext>
          </a:extLst>
        </xdr:cNvPr>
        <xdr:cNvGrpSpPr/>
      </xdr:nvGrpSpPr>
      <xdr:grpSpPr>
        <a:xfrm>
          <a:off x="12819529" y="3574675"/>
          <a:ext cx="6712324" cy="3922060"/>
          <a:chOff x="12819529" y="3574675"/>
          <a:chExt cx="6712324" cy="3922059"/>
        </a:xfrm>
      </xdr:grpSpPr>
      <xdr:graphicFrame macro="">
        <xdr:nvGraphicFramePr>
          <xdr:cNvPr id="27" name="Gráfico 26">
            <a:extLst>
              <a:ext uri="{FF2B5EF4-FFF2-40B4-BE49-F238E27FC236}">
                <a16:creationId xmlns:a16="http://schemas.microsoft.com/office/drawing/2014/main" id="{4DD77C0B-7365-4689-A01B-7924109AC777}"/>
              </a:ext>
            </a:extLst>
          </xdr:cNvPr>
          <xdr:cNvGraphicFramePr>
            <a:graphicFrameLocks/>
          </xdr:cNvGraphicFramePr>
        </xdr:nvGraphicFramePr>
        <xdr:xfrm>
          <a:off x="12819529" y="3585882"/>
          <a:ext cx="6701118" cy="391085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29" name="Retângulo: Cantos Diagonais Arredondados 28">
            <a:extLst>
              <a:ext uri="{FF2B5EF4-FFF2-40B4-BE49-F238E27FC236}">
                <a16:creationId xmlns:a16="http://schemas.microsoft.com/office/drawing/2014/main" id="{CD294A75-2E2C-4D1A-BBEF-B405A1894318}"/>
              </a:ext>
            </a:extLst>
          </xdr:cNvPr>
          <xdr:cNvSpPr/>
        </xdr:nvSpPr>
        <xdr:spPr>
          <a:xfrm>
            <a:off x="12821630" y="3574675"/>
            <a:ext cx="6710223" cy="485015"/>
          </a:xfrm>
          <a:prstGeom prst="round2DiagRect">
            <a:avLst>
              <a:gd name="adj1" fmla="val 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400" b="1" i="0" u="none" strike="noStrike">
                <a:solidFill>
                  <a:srgbClr val="000000"/>
                </a:solidFill>
                <a:latin typeface="Aptos Narrow"/>
              </a:rPr>
              <a:t>TOTAL RENOVAÇÃO AUTOMÁTICA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z G. Costa" refreshedDate="46156.861901041666" createdVersion="8" refreshedVersion="8" minRefreshableVersion="3" recordCount="295" xr:uid="{EEDA3A87-60A1-407E-9D7E-F5B98D4A3DC3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 count="295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</sharedItems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 count="2">
        <n v="20"/>
        <n v="0"/>
      </sharedItems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88492171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x v="0"/>
    <x v="0"/>
    <x v="0"/>
    <d v="2024-01-01T00:00:00"/>
    <x v="0"/>
    <n v="15"/>
    <x v="0"/>
    <x v="0"/>
    <x v="0"/>
    <x v="0"/>
    <x v="0"/>
    <n v="5"/>
    <n v="60"/>
  </r>
  <r>
    <x v="1"/>
    <x v="1"/>
    <x v="1"/>
    <d v="2024-01-15T00:00:00"/>
    <x v="1"/>
    <n v="5"/>
    <x v="1"/>
    <x v="1"/>
    <x v="1"/>
    <x v="1"/>
    <x v="1"/>
    <n v="0"/>
    <n v="5"/>
  </r>
  <r>
    <x v="2"/>
    <x v="2"/>
    <x v="2"/>
    <d v="2024-02-10T00:00:00"/>
    <x v="0"/>
    <n v="10"/>
    <x v="2"/>
    <x v="1"/>
    <x v="1"/>
    <x v="0"/>
    <x v="0"/>
    <n v="10"/>
    <n v="20"/>
  </r>
  <r>
    <x v="3"/>
    <x v="3"/>
    <x v="0"/>
    <d v="2024-02-20T00:00:00"/>
    <x v="1"/>
    <n v="15"/>
    <x v="0"/>
    <x v="0"/>
    <x v="0"/>
    <x v="0"/>
    <x v="0"/>
    <n v="3"/>
    <n v="62"/>
  </r>
  <r>
    <x v="4"/>
    <x v="4"/>
    <x v="1"/>
    <d v="2024-03-05T00:00:00"/>
    <x v="0"/>
    <n v="5"/>
    <x v="0"/>
    <x v="1"/>
    <x v="1"/>
    <x v="1"/>
    <x v="1"/>
    <n v="1"/>
    <n v="4"/>
  </r>
  <r>
    <x v="5"/>
    <x v="5"/>
    <x v="2"/>
    <d v="2024-03-02T00:00:00"/>
    <x v="1"/>
    <n v="10"/>
    <x v="0"/>
    <x v="1"/>
    <x v="1"/>
    <x v="0"/>
    <x v="0"/>
    <n v="2"/>
    <n v="28"/>
  </r>
  <r>
    <x v="6"/>
    <x v="6"/>
    <x v="0"/>
    <d v="2024-03-03T00:00:00"/>
    <x v="0"/>
    <n v="15"/>
    <x v="2"/>
    <x v="0"/>
    <x v="0"/>
    <x v="0"/>
    <x v="0"/>
    <n v="10"/>
    <n v="55"/>
  </r>
  <r>
    <x v="7"/>
    <x v="7"/>
    <x v="1"/>
    <d v="2024-03-04T00:00:00"/>
    <x v="0"/>
    <n v="5"/>
    <x v="1"/>
    <x v="1"/>
    <x v="1"/>
    <x v="1"/>
    <x v="1"/>
    <n v="0"/>
    <n v="5"/>
  </r>
  <r>
    <x v="8"/>
    <x v="8"/>
    <x v="0"/>
    <d v="2024-03-05T00:00:00"/>
    <x v="1"/>
    <n v="15"/>
    <x v="0"/>
    <x v="0"/>
    <x v="0"/>
    <x v="0"/>
    <x v="0"/>
    <n v="5"/>
    <n v="60"/>
  </r>
  <r>
    <x v="9"/>
    <x v="9"/>
    <x v="2"/>
    <d v="2024-03-06T00:00:00"/>
    <x v="0"/>
    <n v="10"/>
    <x v="2"/>
    <x v="1"/>
    <x v="1"/>
    <x v="0"/>
    <x v="0"/>
    <n v="15"/>
    <n v="15"/>
  </r>
  <r>
    <x v="10"/>
    <x v="10"/>
    <x v="1"/>
    <d v="2024-03-07T00:00:00"/>
    <x v="1"/>
    <n v="5"/>
    <x v="0"/>
    <x v="1"/>
    <x v="1"/>
    <x v="1"/>
    <x v="1"/>
    <n v="1"/>
    <n v="4"/>
  </r>
  <r>
    <x v="11"/>
    <x v="11"/>
    <x v="0"/>
    <d v="2024-03-08T00:00:00"/>
    <x v="0"/>
    <n v="15"/>
    <x v="1"/>
    <x v="0"/>
    <x v="0"/>
    <x v="0"/>
    <x v="0"/>
    <n v="20"/>
    <n v="45"/>
  </r>
  <r>
    <x v="12"/>
    <x v="12"/>
    <x v="2"/>
    <d v="2024-03-09T00:00:00"/>
    <x v="1"/>
    <n v="10"/>
    <x v="0"/>
    <x v="1"/>
    <x v="1"/>
    <x v="0"/>
    <x v="0"/>
    <n v="10"/>
    <n v="20"/>
  </r>
  <r>
    <x v="13"/>
    <x v="13"/>
    <x v="1"/>
    <d v="2024-03-10T00:00:00"/>
    <x v="0"/>
    <n v="5"/>
    <x v="2"/>
    <x v="1"/>
    <x v="1"/>
    <x v="1"/>
    <x v="1"/>
    <n v="0"/>
    <n v="5"/>
  </r>
  <r>
    <x v="14"/>
    <x v="14"/>
    <x v="0"/>
    <d v="2024-03-11T00:00:00"/>
    <x v="1"/>
    <n v="15"/>
    <x v="0"/>
    <x v="0"/>
    <x v="0"/>
    <x v="0"/>
    <x v="0"/>
    <n v="8"/>
    <n v="57"/>
  </r>
  <r>
    <x v="15"/>
    <x v="15"/>
    <x v="2"/>
    <d v="2024-03-12T00:00:00"/>
    <x v="0"/>
    <n v="10"/>
    <x v="1"/>
    <x v="1"/>
    <x v="1"/>
    <x v="0"/>
    <x v="0"/>
    <n v="12"/>
    <n v="18"/>
  </r>
  <r>
    <x v="16"/>
    <x v="16"/>
    <x v="1"/>
    <d v="2024-03-13T00:00:00"/>
    <x v="1"/>
    <n v="5"/>
    <x v="0"/>
    <x v="1"/>
    <x v="1"/>
    <x v="1"/>
    <x v="1"/>
    <n v="2"/>
    <n v="3"/>
  </r>
  <r>
    <x v="17"/>
    <x v="17"/>
    <x v="0"/>
    <d v="2024-03-14T00:00:00"/>
    <x v="0"/>
    <n v="15"/>
    <x v="2"/>
    <x v="0"/>
    <x v="0"/>
    <x v="0"/>
    <x v="0"/>
    <n v="7"/>
    <n v="58"/>
  </r>
  <r>
    <x v="18"/>
    <x v="18"/>
    <x v="2"/>
    <d v="2024-03-15T00:00:00"/>
    <x v="1"/>
    <n v="10"/>
    <x v="0"/>
    <x v="1"/>
    <x v="1"/>
    <x v="0"/>
    <x v="0"/>
    <n v="5"/>
    <n v="25"/>
  </r>
  <r>
    <x v="19"/>
    <x v="19"/>
    <x v="1"/>
    <d v="2024-03-16T00:00:00"/>
    <x v="0"/>
    <n v="5"/>
    <x v="1"/>
    <x v="1"/>
    <x v="1"/>
    <x v="1"/>
    <x v="1"/>
    <n v="0"/>
    <n v="5"/>
  </r>
  <r>
    <x v="20"/>
    <x v="20"/>
    <x v="0"/>
    <d v="2024-03-17T00:00:00"/>
    <x v="1"/>
    <n v="15"/>
    <x v="0"/>
    <x v="0"/>
    <x v="0"/>
    <x v="0"/>
    <x v="0"/>
    <n v="3"/>
    <n v="62"/>
  </r>
  <r>
    <x v="21"/>
    <x v="21"/>
    <x v="2"/>
    <d v="2024-03-18T00:00:00"/>
    <x v="0"/>
    <n v="10"/>
    <x v="2"/>
    <x v="1"/>
    <x v="1"/>
    <x v="0"/>
    <x v="0"/>
    <n v="15"/>
    <n v="15"/>
  </r>
  <r>
    <x v="22"/>
    <x v="22"/>
    <x v="1"/>
    <d v="2024-03-19T00:00:00"/>
    <x v="1"/>
    <n v="5"/>
    <x v="0"/>
    <x v="1"/>
    <x v="1"/>
    <x v="1"/>
    <x v="1"/>
    <n v="1"/>
    <n v="4"/>
  </r>
  <r>
    <x v="23"/>
    <x v="23"/>
    <x v="0"/>
    <d v="2024-03-20T00:00:00"/>
    <x v="0"/>
    <n v="15"/>
    <x v="1"/>
    <x v="0"/>
    <x v="0"/>
    <x v="0"/>
    <x v="0"/>
    <n v="20"/>
    <n v="45"/>
  </r>
  <r>
    <x v="24"/>
    <x v="24"/>
    <x v="2"/>
    <d v="2024-03-21T00:00:00"/>
    <x v="1"/>
    <n v="10"/>
    <x v="0"/>
    <x v="1"/>
    <x v="1"/>
    <x v="0"/>
    <x v="0"/>
    <n v="10"/>
    <n v="20"/>
  </r>
  <r>
    <x v="25"/>
    <x v="25"/>
    <x v="1"/>
    <d v="2024-03-22T00:00:00"/>
    <x v="0"/>
    <n v="5"/>
    <x v="2"/>
    <x v="1"/>
    <x v="1"/>
    <x v="1"/>
    <x v="1"/>
    <n v="0"/>
    <n v="5"/>
  </r>
  <r>
    <x v="26"/>
    <x v="26"/>
    <x v="0"/>
    <d v="2024-03-23T00:00:00"/>
    <x v="1"/>
    <n v="15"/>
    <x v="0"/>
    <x v="0"/>
    <x v="0"/>
    <x v="0"/>
    <x v="0"/>
    <n v="5"/>
    <n v="60"/>
  </r>
  <r>
    <x v="27"/>
    <x v="27"/>
    <x v="2"/>
    <d v="2024-03-24T00:00:00"/>
    <x v="0"/>
    <n v="10"/>
    <x v="1"/>
    <x v="1"/>
    <x v="1"/>
    <x v="0"/>
    <x v="0"/>
    <n v="15"/>
    <n v="15"/>
  </r>
  <r>
    <x v="28"/>
    <x v="28"/>
    <x v="1"/>
    <d v="2024-03-25T00:00:00"/>
    <x v="1"/>
    <n v="5"/>
    <x v="0"/>
    <x v="1"/>
    <x v="1"/>
    <x v="1"/>
    <x v="1"/>
    <n v="1"/>
    <n v="4"/>
  </r>
  <r>
    <x v="29"/>
    <x v="29"/>
    <x v="0"/>
    <d v="2024-03-26T00:00:00"/>
    <x v="0"/>
    <n v="15"/>
    <x v="2"/>
    <x v="0"/>
    <x v="0"/>
    <x v="0"/>
    <x v="0"/>
    <n v="7"/>
    <n v="58"/>
  </r>
  <r>
    <x v="30"/>
    <x v="30"/>
    <x v="2"/>
    <d v="2024-03-27T00:00:00"/>
    <x v="1"/>
    <n v="10"/>
    <x v="0"/>
    <x v="1"/>
    <x v="1"/>
    <x v="0"/>
    <x v="0"/>
    <n v="10"/>
    <n v="20"/>
  </r>
  <r>
    <x v="31"/>
    <x v="31"/>
    <x v="1"/>
    <d v="2024-03-28T00:00:00"/>
    <x v="0"/>
    <n v="5"/>
    <x v="1"/>
    <x v="1"/>
    <x v="1"/>
    <x v="1"/>
    <x v="1"/>
    <n v="0"/>
    <n v="5"/>
  </r>
  <r>
    <x v="32"/>
    <x v="32"/>
    <x v="0"/>
    <d v="2024-03-29T00:00:00"/>
    <x v="1"/>
    <n v="15"/>
    <x v="0"/>
    <x v="0"/>
    <x v="0"/>
    <x v="0"/>
    <x v="0"/>
    <n v="3"/>
    <n v="62"/>
  </r>
  <r>
    <x v="33"/>
    <x v="33"/>
    <x v="2"/>
    <d v="2024-03-30T00:00:00"/>
    <x v="0"/>
    <n v="10"/>
    <x v="2"/>
    <x v="1"/>
    <x v="1"/>
    <x v="0"/>
    <x v="0"/>
    <n v="15"/>
    <n v="15"/>
  </r>
  <r>
    <x v="34"/>
    <x v="34"/>
    <x v="1"/>
    <d v="2024-03-31T00:00:00"/>
    <x v="1"/>
    <n v="5"/>
    <x v="0"/>
    <x v="1"/>
    <x v="1"/>
    <x v="1"/>
    <x v="1"/>
    <n v="1"/>
    <n v="4"/>
  </r>
  <r>
    <x v="35"/>
    <x v="35"/>
    <x v="1"/>
    <d v="2024-04-01T00:00:00"/>
    <x v="0"/>
    <n v="5"/>
    <x v="0"/>
    <x v="1"/>
    <x v="1"/>
    <x v="1"/>
    <x v="1"/>
    <n v="0"/>
    <n v="5"/>
  </r>
  <r>
    <x v="36"/>
    <x v="36"/>
    <x v="0"/>
    <d v="2024-04-02T00:00:00"/>
    <x v="1"/>
    <n v="15"/>
    <x v="2"/>
    <x v="0"/>
    <x v="0"/>
    <x v="0"/>
    <x v="0"/>
    <n v="7"/>
    <n v="58"/>
  </r>
  <r>
    <x v="37"/>
    <x v="37"/>
    <x v="2"/>
    <d v="2024-04-03T00:00:00"/>
    <x v="0"/>
    <n v="10"/>
    <x v="1"/>
    <x v="1"/>
    <x v="1"/>
    <x v="0"/>
    <x v="0"/>
    <n v="10"/>
    <n v="20"/>
  </r>
  <r>
    <x v="38"/>
    <x v="38"/>
    <x v="1"/>
    <d v="2024-04-04T00:00:00"/>
    <x v="1"/>
    <n v="5"/>
    <x v="2"/>
    <x v="1"/>
    <x v="1"/>
    <x v="1"/>
    <x v="1"/>
    <n v="1"/>
    <n v="4"/>
  </r>
  <r>
    <x v="39"/>
    <x v="39"/>
    <x v="0"/>
    <d v="2024-04-05T00:00:00"/>
    <x v="0"/>
    <n v="15"/>
    <x v="0"/>
    <x v="0"/>
    <x v="0"/>
    <x v="0"/>
    <x v="0"/>
    <n v="15"/>
    <n v="50"/>
  </r>
  <r>
    <x v="40"/>
    <x v="40"/>
    <x v="2"/>
    <d v="2024-04-06T00:00:00"/>
    <x v="1"/>
    <n v="10"/>
    <x v="0"/>
    <x v="1"/>
    <x v="1"/>
    <x v="0"/>
    <x v="0"/>
    <n v="5"/>
    <n v="25"/>
  </r>
  <r>
    <x v="41"/>
    <x v="41"/>
    <x v="1"/>
    <d v="2024-04-07T00:00:00"/>
    <x v="0"/>
    <n v="5"/>
    <x v="1"/>
    <x v="1"/>
    <x v="1"/>
    <x v="1"/>
    <x v="1"/>
    <n v="0"/>
    <n v="5"/>
  </r>
  <r>
    <x v="42"/>
    <x v="42"/>
    <x v="0"/>
    <d v="2024-04-08T00:00:00"/>
    <x v="1"/>
    <n v="15"/>
    <x v="2"/>
    <x v="0"/>
    <x v="0"/>
    <x v="0"/>
    <x v="0"/>
    <n v="20"/>
    <n v="45"/>
  </r>
  <r>
    <x v="43"/>
    <x v="43"/>
    <x v="2"/>
    <d v="2024-04-09T00:00:00"/>
    <x v="0"/>
    <n v="10"/>
    <x v="2"/>
    <x v="1"/>
    <x v="1"/>
    <x v="0"/>
    <x v="0"/>
    <n v="12"/>
    <n v="18"/>
  </r>
  <r>
    <x v="44"/>
    <x v="44"/>
    <x v="1"/>
    <d v="2024-04-10T00:00:00"/>
    <x v="1"/>
    <n v="5"/>
    <x v="0"/>
    <x v="1"/>
    <x v="1"/>
    <x v="1"/>
    <x v="1"/>
    <n v="2"/>
    <n v="3"/>
  </r>
  <r>
    <x v="45"/>
    <x v="45"/>
    <x v="0"/>
    <d v="2024-04-11T00:00:00"/>
    <x v="0"/>
    <n v="15"/>
    <x v="1"/>
    <x v="0"/>
    <x v="0"/>
    <x v="0"/>
    <x v="0"/>
    <n v="5"/>
    <n v="60"/>
  </r>
  <r>
    <x v="46"/>
    <x v="46"/>
    <x v="2"/>
    <d v="2024-04-12T00:00:00"/>
    <x v="1"/>
    <n v="10"/>
    <x v="0"/>
    <x v="1"/>
    <x v="1"/>
    <x v="0"/>
    <x v="0"/>
    <n v="10"/>
    <n v="20"/>
  </r>
  <r>
    <x v="47"/>
    <x v="47"/>
    <x v="1"/>
    <d v="2024-04-13T00:00:00"/>
    <x v="0"/>
    <n v="5"/>
    <x v="2"/>
    <x v="1"/>
    <x v="1"/>
    <x v="1"/>
    <x v="1"/>
    <n v="0"/>
    <n v="5"/>
  </r>
  <r>
    <x v="48"/>
    <x v="48"/>
    <x v="0"/>
    <d v="2024-04-14T00:00:00"/>
    <x v="1"/>
    <n v="15"/>
    <x v="0"/>
    <x v="0"/>
    <x v="0"/>
    <x v="0"/>
    <x v="0"/>
    <n v="3"/>
    <n v="62"/>
  </r>
  <r>
    <x v="49"/>
    <x v="49"/>
    <x v="2"/>
    <d v="2024-04-15T00:00:00"/>
    <x v="0"/>
    <n v="10"/>
    <x v="1"/>
    <x v="1"/>
    <x v="1"/>
    <x v="0"/>
    <x v="0"/>
    <n v="15"/>
    <n v="15"/>
  </r>
  <r>
    <x v="50"/>
    <x v="50"/>
    <x v="1"/>
    <d v="2024-04-16T00:00:00"/>
    <x v="1"/>
    <n v="5"/>
    <x v="0"/>
    <x v="1"/>
    <x v="1"/>
    <x v="1"/>
    <x v="1"/>
    <n v="1"/>
    <n v="4"/>
  </r>
  <r>
    <x v="51"/>
    <x v="51"/>
    <x v="0"/>
    <d v="2024-04-17T00:00:00"/>
    <x v="0"/>
    <n v="15"/>
    <x v="2"/>
    <x v="0"/>
    <x v="0"/>
    <x v="0"/>
    <x v="0"/>
    <n v="7"/>
    <n v="58"/>
  </r>
  <r>
    <x v="52"/>
    <x v="52"/>
    <x v="2"/>
    <d v="2024-04-18T00:00:00"/>
    <x v="1"/>
    <n v="10"/>
    <x v="0"/>
    <x v="1"/>
    <x v="1"/>
    <x v="0"/>
    <x v="0"/>
    <n v="10"/>
    <n v="20"/>
  </r>
  <r>
    <x v="53"/>
    <x v="53"/>
    <x v="1"/>
    <d v="2024-04-19T00:00:00"/>
    <x v="0"/>
    <n v="5"/>
    <x v="1"/>
    <x v="1"/>
    <x v="1"/>
    <x v="1"/>
    <x v="1"/>
    <n v="0"/>
    <n v="5"/>
  </r>
  <r>
    <x v="54"/>
    <x v="54"/>
    <x v="0"/>
    <d v="2024-04-20T00:00:00"/>
    <x v="1"/>
    <n v="15"/>
    <x v="0"/>
    <x v="0"/>
    <x v="0"/>
    <x v="0"/>
    <x v="0"/>
    <n v="20"/>
    <n v="45"/>
  </r>
  <r>
    <x v="55"/>
    <x v="55"/>
    <x v="2"/>
    <d v="2024-04-21T00:00:00"/>
    <x v="0"/>
    <n v="10"/>
    <x v="2"/>
    <x v="1"/>
    <x v="1"/>
    <x v="0"/>
    <x v="0"/>
    <n v="15"/>
    <n v="15"/>
  </r>
  <r>
    <x v="56"/>
    <x v="56"/>
    <x v="1"/>
    <d v="2024-04-22T00:00:00"/>
    <x v="1"/>
    <n v="5"/>
    <x v="0"/>
    <x v="1"/>
    <x v="1"/>
    <x v="1"/>
    <x v="1"/>
    <n v="1"/>
    <n v="4"/>
  </r>
  <r>
    <x v="57"/>
    <x v="57"/>
    <x v="0"/>
    <d v="2024-04-23T00:00:00"/>
    <x v="0"/>
    <n v="15"/>
    <x v="1"/>
    <x v="0"/>
    <x v="0"/>
    <x v="0"/>
    <x v="0"/>
    <n v="3"/>
    <n v="62"/>
  </r>
  <r>
    <x v="58"/>
    <x v="58"/>
    <x v="2"/>
    <d v="2024-04-24T00:00:00"/>
    <x v="1"/>
    <n v="10"/>
    <x v="0"/>
    <x v="1"/>
    <x v="1"/>
    <x v="0"/>
    <x v="0"/>
    <n v="10"/>
    <n v="20"/>
  </r>
  <r>
    <x v="59"/>
    <x v="59"/>
    <x v="1"/>
    <d v="2024-04-25T00:00:00"/>
    <x v="0"/>
    <n v="5"/>
    <x v="2"/>
    <x v="1"/>
    <x v="1"/>
    <x v="1"/>
    <x v="1"/>
    <n v="0"/>
    <n v="5"/>
  </r>
  <r>
    <x v="60"/>
    <x v="60"/>
    <x v="0"/>
    <d v="2024-04-26T00:00:00"/>
    <x v="1"/>
    <n v="15"/>
    <x v="0"/>
    <x v="0"/>
    <x v="0"/>
    <x v="0"/>
    <x v="0"/>
    <n v="5"/>
    <n v="60"/>
  </r>
  <r>
    <x v="61"/>
    <x v="61"/>
    <x v="2"/>
    <d v="2024-04-27T00:00:00"/>
    <x v="0"/>
    <n v="10"/>
    <x v="1"/>
    <x v="1"/>
    <x v="1"/>
    <x v="0"/>
    <x v="0"/>
    <n v="15"/>
    <n v="15"/>
  </r>
  <r>
    <x v="62"/>
    <x v="62"/>
    <x v="1"/>
    <d v="2024-04-28T00:00:00"/>
    <x v="1"/>
    <n v="5"/>
    <x v="0"/>
    <x v="1"/>
    <x v="1"/>
    <x v="1"/>
    <x v="1"/>
    <n v="1"/>
    <n v="4"/>
  </r>
  <r>
    <x v="63"/>
    <x v="63"/>
    <x v="0"/>
    <d v="2024-04-29T00:00:00"/>
    <x v="0"/>
    <n v="15"/>
    <x v="2"/>
    <x v="0"/>
    <x v="0"/>
    <x v="0"/>
    <x v="0"/>
    <n v="20"/>
    <n v="45"/>
  </r>
  <r>
    <x v="64"/>
    <x v="64"/>
    <x v="2"/>
    <d v="2024-04-30T00:00:00"/>
    <x v="1"/>
    <n v="10"/>
    <x v="0"/>
    <x v="1"/>
    <x v="1"/>
    <x v="0"/>
    <x v="0"/>
    <n v="5"/>
    <n v="25"/>
  </r>
  <r>
    <x v="65"/>
    <x v="65"/>
    <x v="1"/>
    <d v="2024-05-01T00:00:00"/>
    <x v="1"/>
    <n v="5"/>
    <x v="0"/>
    <x v="1"/>
    <x v="1"/>
    <x v="1"/>
    <x v="1"/>
    <n v="0"/>
    <n v="5"/>
  </r>
  <r>
    <x v="66"/>
    <x v="66"/>
    <x v="0"/>
    <d v="2024-05-02T00:00:00"/>
    <x v="0"/>
    <n v="15"/>
    <x v="2"/>
    <x v="0"/>
    <x v="0"/>
    <x v="0"/>
    <x v="0"/>
    <n v="7"/>
    <n v="58"/>
  </r>
  <r>
    <x v="67"/>
    <x v="67"/>
    <x v="2"/>
    <d v="2024-05-03T00:00:00"/>
    <x v="1"/>
    <n v="10"/>
    <x v="1"/>
    <x v="1"/>
    <x v="1"/>
    <x v="0"/>
    <x v="0"/>
    <n v="10"/>
    <n v="20"/>
  </r>
  <r>
    <x v="68"/>
    <x v="68"/>
    <x v="1"/>
    <d v="2024-05-04T00:00:00"/>
    <x v="0"/>
    <n v="5"/>
    <x v="2"/>
    <x v="1"/>
    <x v="1"/>
    <x v="1"/>
    <x v="1"/>
    <n v="1"/>
    <n v="4"/>
  </r>
  <r>
    <x v="69"/>
    <x v="69"/>
    <x v="0"/>
    <d v="2024-05-05T00:00:00"/>
    <x v="1"/>
    <n v="15"/>
    <x v="0"/>
    <x v="0"/>
    <x v="0"/>
    <x v="0"/>
    <x v="0"/>
    <n v="15"/>
    <n v="50"/>
  </r>
  <r>
    <x v="70"/>
    <x v="70"/>
    <x v="2"/>
    <d v="2024-05-06T00:00:00"/>
    <x v="0"/>
    <n v="10"/>
    <x v="0"/>
    <x v="1"/>
    <x v="1"/>
    <x v="0"/>
    <x v="0"/>
    <n v="5"/>
    <n v="25"/>
  </r>
  <r>
    <x v="71"/>
    <x v="71"/>
    <x v="1"/>
    <d v="2024-05-07T00:00:00"/>
    <x v="1"/>
    <n v="5"/>
    <x v="1"/>
    <x v="1"/>
    <x v="1"/>
    <x v="1"/>
    <x v="1"/>
    <n v="0"/>
    <n v="5"/>
  </r>
  <r>
    <x v="72"/>
    <x v="72"/>
    <x v="0"/>
    <d v="2024-05-08T00:00:00"/>
    <x v="0"/>
    <n v="15"/>
    <x v="2"/>
    <x v="0"/>
    <x v="0"/>
    <x v="0"/>
    <x v="0"/>
    <n v="20"/>
    <n v="45"/>
  </r>
  <r>
    <x v="73"/>
    <x v="73"/>
    <x v="2"/>
    <d v="2024-05-09T00:00:00"/>
    <x v="1"/>
    <n v="10"/>
    <x v="2"/>
    <x v="1"/>
    <x v="1"/>
    <x v="0"/>
    <x v="0"/>
    <n v="12"/>
    <n v="18"/>
  </r>
  <r>
    <x v="74"/>
    <x v="74"/>
    <x v="1"/>
    <d v="2024-05-10T00:00:00"/>
    <x v="0"/>
    <n v="5"/>
    <x v="0"/>
    <x v="1"/>
    <x v="1"/>
    <x v="1"/>
    <x v="1"/>
    <n v="2"/>
    <n v="3"/>
  </r>
  <r>
    <x v="75"/>
    <x v="75"/>
    <x v="0"/>
    <d v="2024-05-11T00:00:00"/>
    <x v="1"/>
    <n v="15"/>
    <x v="1"/>
    <x v="0"/>
    <x v="0"/>
    <x v="0"/>
    <x v="0"/>
    <n v="5"/>
    <n v="60"/>
  </r>
  <r>
    <x v="76"/>
    <x v="76"/>
    <x v="2"/>
    <d v="2024-05-12T00:00:00"/>
    <x v="0"/>
    <n v="10"/>
    <x v="0"/>
    <x v="1"/>
    <x v="1"/>
    <x v="0"/>
    <x v="0"/>
    <n v="10"/>
    <n v="20"/>
  </r>
  <r>
    <x v="77"/>
    <x v="77"/>
    <x v="1"/>
    <d v="2024-05-13T00:00:00"/>
    <x v="1"/>
    <n v="5"/>
    <x v="2"/>
    <x v="1"/>
    <x v="1"/>
    <x v="1"/>
    <x v="1"/>
    <n v="0"/>
    <n v="5"/>
  </r>
  <r>
    <x v="78"/>
    <x v="78"/>
    <x v="0"/>
    <d v="2024-05-14T00:00:00"/>
    <x v="0"/>
    <n v="15"/>
    <x v="0"/>
    <x v="0"/>
    <x v="0"/>
    <x v="0"/>
    <x v="0"/>
    <n v="3"/>
    <n v="62"/>
  </r>
  <r>
    <x v="79"/>
    <x v="79"/>
    <x v="2"/>
    <d v="2024-05-15T00:00:00"/>
    <x v="1"/>
    <n v="10"/>
    <x v="1"/>
    <x v="1"/>
    <x v="1"/>
    <x v="0"/>
    <x v="0"/>
    <n v="15"/>
    <n v="15"/>
  </r>
  <r>
    <x v="80"/>
    <x v="80"/>
    <x v="1"/>
    <d v="2024-05-16T00:00:00"/>
    <x v="0"/>
    <n v="5"/>
    <x v="0"/>
    <x v="1"/>
    <x v="1"/>
    <x v="1"/>
    <x v="1"/>
    <n v="1"/>
    <n v="4"/>
  </r>
  <r>
    <x v="81"/>
    <x v="81"/>
    <x v="0"/>
    <d v="2024-05-17T00:00:00"/>
    <x v="1"/>
    <n v="15"/>
    <x v="2"/>
    <x v="0"/>
    <x v="0"/>
    <x v="0"/>
    <x v="0"/>
    <n v="7"/>
    <n v="58"/>
  </r>
  <r>
    <x v="82"/>
    <x v="82"/>
    <x v="2"/>
    <d v="2024-05-18T00:00:00"/>
    <x v="0"/>
    <n v="10"/>
    <x v="0"/>
    <x v="1"/>
    <x v="1"/>
    <x v="0"/>
    <x v="0"/>
    <n v="10"/>
    <n v="20"/>
  </r>
  <r>
    <x v="83"/>
    <x v="83"/>
    <x v="1"/>
    <d v="2024-05-19T00:00:00"/>
    <x v="1"/>
    <n v="5"/>
    <x v="1"/>
    <x v="1"/>
    <x v="1"/>
    <x v="1"/>
    <x v="1"/>
    <n v="0"/>
    <n v="5"/>
  </r>
  <r>
    <x v="84"/>
    <x v="84"/>
    <x v="0"/>
    <d v="2024-05-20T00:00:00"/>
    <x v="0"/>
    <n v="15"/>
    <x v="0"/>
    <x v="0"/>
    <x v="0"/>
    <x v="0"/>
    <x v="0"/>
    <n v="20"/>
    <n v="45"/>
  </r>
  <r>
    <x v="85"/>
    <x v="85"/>
    <x v="2"/>
    <d v="2024-05-21T00:00:00"/>
    <x v="1"/>
    <n v="10"/>
    <x v="2"/>
    <x v="1"/>
    <x v="1"/>
    <x v="0"/>
    <x v="0"/>
    <n v="15"/>
    <n v="15"/>
  </r>
  <r>
    <x v="86"/>
    <x v="86"/>
    <x v="1"/>
    <d v="2024-05-22T00:00:00"/>
    <x v="0"/>
    <n v="5"/>
    <x v="0"/>
    <x v="1"/>
    <x v="1"/>
    <x v="1"/>
    <x v="1"/>
    <n v="1"/>
    <n v="4"/>
  </r>
  <r>
    <x v="87"/>
    <x v="87"/>
    <x v="0"/>
    <d v="2024-05-23T00:00:00"/>
    <x v="1"/>
    <n v="15"/>
    <x v="1"/>
    <x v="0"/>
    <x v="0"/>
    <x v="0"/>
    <x v="0"/>
    <n v="3"/>
    <n v="62"/>
  </r>
  <r>
    <x v="88"/>
    <x v="88"/>
    <x v="2"/>
    <d v="2024-05-24T00:00:00"/>
    <x v="0"/>
    <n v="10"/>
    <x v="0"/>
    <x v="1"/>
    <x v="1"/>
    <x v="0"/>
    <x v="0"/>
    <n v="10"/>
    <n v="20"/>
  </r>
  <r>
    <x v="89"/>
    <x v="89"/>
    <x v="1"/>
    <d v="2024-05-25T00:00:00"/>
    <x v="1"/>
    <n v="5"/>
    <x v="2"/>
    <x v="1"/>
    <x v="1"/>
    <x v="1"/>
    <x v="1"/>
    <n v="0"/>
    <n v="5"/>
  </r>
  <r>
    <x v="90"/>
    <x v="90"/>
    <x v="0"/>
    <d v="2024-05-26T00:00:00"/>
    <x v="0"/>
    <n v="15"/>
    <x v="0"/>
    <x v="0"/>
    <x v="0"/>
    <x v="0"/>
    <x v="0"/>
    <n v="5"/>
    <n v="60"/>
  </r>
  <r>
    <x v="91"/>
    <x v="91"/>
    <x v="2"/>
    <d v="2024-05-27T00:00:00"/>
    <x v="1"/>
    <n v="10"/>
    <x v="1"/>
    <x v="1"/>
    <x v="1"/>
    <x v="0"/>
    <x v="0"/>
    <n v="15"/>
    <n v="15"/>
  </r>
  <r>
    <x v="92"/>
    <x v="92"/>
    <x v="1"/>
    <d v="2024-05-28T00:00:00"/>
    <x v="0"/>
    <n v="5"/>
    <x v="0"/>
    <x v="1"/>
    <x v="1"/>
    <x v="1"/>
    <x v="1"/>
    <n v="1"/>
    <n v="4"/>
  </r>
  <r>
    <x v="93"/>
    <x v="93"/>
    <x v="0"/>
    <d v="2024-05-29T00:00:00"/>
    <x v="1"/>
    <n v="15"/>
    <x v="2"/>
    <x v="0"/>
    <x v="0"/>
    <x v="0"/>
    <x v="0"/>
    <n v="20"/>
    <n v="45"/>
  </r>
  <r>
    <x v="94"/>
    <x v="94"/>
    <x v="2"/>
    <d v="2024-05-30T00:00:00"/>
    <x v="0"/>
    <n v="10"/>
    <x v="2"/>
    <x v="1"/>
    <x v="1"/>
    <x v="0"/>
    <x v="0"/>
    <n v="15"/>
    <n v="15"/>
  </r>
  <r>
    <x v="95"/>
    <x v="95"/>
    <x v="1"/>
    <d v="2024-05-31T00:00:00"/>
    <x v="1"/>
    <n v="5"/>
    <x v="1"/>
    <x v="1"/>
    <x v="1"/>
    <x v="1"/>
    <x v="1"/>
    <n v="0"/>
    <n v="5"/>
  </r>
  <r>
    <x v="96"/>
    <x v="96"/>
    <x v="0"/>
    <d v="2024-06-01T00:00:00"/>
    <x v="0"/>
    <n v="15"/>
    <x v="0"/>
    <x v="0"/>
    <x v="0"/>
    <x v="0"/>
    <x v="0"/>
    <n v="7"/>
    <n v="58"/>
  </r>
  <r>
    <x v="97"/>
    <x v="97"/>
    <x v="2"/>
    <d v="2024-06-02T00:00:00"/>
    <x v="1"/>
    <n v="10"/>
    <x v="1"/>
    <x v="1"/>
    <x v="1"/>
    <x v="0"/>
    <x v="0"/>
    <n v="10"/>
    <n v="20"/>
  </r>
  <r>
    <x v="98"/>
    <x v="98"/>
    <x v="1"/>
    <d v="2024-06-03T00:00:00"/>
    <x v="0"/>
    <n v="5"/>
    <x v="2"/>
    <x v="1"/>
    <x v="1"/>
    <x v="1"/>
    <x v="1"/>
    <n v="1"/>
    <n v="4"/>
  </r>
  <r>
    <x v="99"/>
    <x v="99"/>
    <x v="0"/>
    <d v="2024-06-04T00:00:00"/>
    <x v="1"/>
    <n v="15"/>
    <x v="0"/>
    <x v="0"/>
    <x v="0"/>
    <x v="0"/>
    <x v="0"/>
    <n v="15"/>
    <n v="50"/>
  </r>
  <r>
    <x v="100"/>
    <x v="100"/>
    <x v="2"/>
    <d v="2024-06-05T00:00:00"/>
    <x v="0"/>
    <n v="10"/>
    <x v="0"/>
    <x v="1"/>
    <x v="1"/>
    <x v="0"/>
    <x v="0"/>
    <n v="5"/>
    <n v="25"/>
  </r>
  <r>
    <x v="101"/>
    <x v="101"/>
    <x v="1"/>
    <d v="2024-06-06T00:00:00"/>
    <x v="1"/>
    <n v="5"/>
    <x v="1"/>
    <x v="1"/>
    <x v="1"/>
    <x v="1"/>
    <x v="1"/>
    <n v="0"/>
    <n v="5"/>
  </r>
  <r>
    <x v="102"/>
    <x v="102"/>
    <x v="0"/>
    <d v="2024-06-07T00:00:00"/>
    <x v="0"/>
    <n v="15"/>
    <x v="2"/>
    <x v="0"/>
    <x v="0"/>
    <x v="0"/>
    <x v="0"/>
    <n v="20"/>
    <n v="45"/>
  </r>
  <r>
    <x v="103"/>
    <x v="103"/>
    <x v="2"/>
    <d v="2024-06-08T00:00:00"/>
    <x v="1"/>
    <n v="10"/>
    <x v="2"/>
    <x v="1"/>
    <x v="1"/>
    <x v="0"/>
    <x v="0"/>
    <n v="12"/>
    <n v="18"/>
  </r>
  <r>
    <x v="104"/>
    <x v="104"/>
    <x v="1"/>
    <d v="2024-06-09T00:00:00"/>
    <x v="0"/>
    <n v="5"/>
    <x v="0"/>
    <x v="1"/>
    <x v="1"/>
    <x v="1"/>
    <x v="1"/>
    <n v="2"/>
    <n v="3"/>
  </r>
  <r>
    <x v="105"/>
    <x v="105"/>
    <x v="1"/>
    <d v="2024-06-10T00:00:00"/>
    <x v="0"/>
    <n v="5"/>
    <x v="0"/>
    <x v="1"/>
    <x v="1"/>
    <x v="1"/>
    <x v="1"/>
    <n v="0"/>
    <n v="5"/>
  </r>
  <r>
    <x v="106"/>
    <x v="106"/>
    <x v="0"/>
    <d v="2024-06-11T00:00:00"/>
    <x v="1"/>
    <n v="15"/>
    <x v="2"/>
    <x v="0"/>
    <x v="0"/>
    <x v="0"/>
    <x v="0"/>
    <n v="7"/>
    <n v="58"/>
  </r>
  <r>
    <x v="107"/>
    <x v="107"/>
    <x v="2"/>
    <d v="2024-06-12T00:00:00"/>
    <x v="0"/>
    <n v="10"/>
    <x v="1"/>
    <x v="1"/>
    <x v="1"/>
    <x v="0"/>
    <x v="0"/>
    <n v="10"/>
    <n v="20"/>
  </r>
  <r>
    <x v="108"/>
    <x v="108"/>
    <x v="1"/>
    <d v="2024-06-13T00:00:00"/>
    <x v="1"/>
    <n v="5"/>
    <x v="2"/>
    <x v="1"/>
    <x v="1"/>
    <x v="1"/>
    <x v="1"/>
    <n v="1"/>
    <n v="4"/>
  </r>
  <r>
    <x v="109"/>
    <x v="109"/>
    <x v="0"/>
    <d v="2024-06-14T00:00:00"/>
    <x v="0"/>
    <n v="15"/>
    <x v="0"/>
    <x v="0"/>
    <x v="0"/>
    <x v="0"/>
    <x v="0"/>
    <n v="15"/>
    <n v="50"/>
  </r>
  <r>
    <x v="110"/>
    <x v="110"/>
    <x v="2"/>
    <d v="2024-06-15T00:00:00"/>
    <x v="1"/>
    <n v="10"/>
    <x v="0"/>
    <x v="1"/>
    <x v="1"/>
    <x v="0"/>
    <x v="0"/>
    <n v="5"/>
    <n v="25"/>
  </r>
  <r>
    <x v="111"/>
    <x v="111"/>
    <x v="1"/>
    <d v="2024-06-16T00:00:00"/>
    <x v="0"/>
    <n v="5"/>
    <x v="1"/>
    <x v="1"/>
    <x v="1"/>
    <x v="1"/>
    <x v="1"/>
    <n v="0"/>
    <n v="5"/>
  </r>
  <r>
    <x v="112"/>
    <x v="112"/>
    <x v="0"/>
    <d v="2024-06-17T00:00:00"/>
    <x v="1"/>
    <n v="15"/>
    <x v="2"/>
    <x v="0"/>
    <x v="0"/>
    <x v="0"/>
    <x v="0"/>
    <n v="20"/>
    <n v="45"/>
  </r>
  <r>
    <x v="113"/>
    <x v="113"/>
    <x v="2"/>
    <d v="2024-06-18T00:00:00"/>
    <x v="0"/>
    <n v="10"/>
    <x v="2"/>
    <x v="1"/>
    <x v="1"/>
    <x v="0"/>
    <x v="0"/>
    <n v="12"/>
    <n v="18"/>
  </r>
  <r>
    <x v="114"/>
    <x v="114"/>
    <x v="1"/>
    <d v="2024-06-19T00:00:00"/>
    <x v="1"/>
    <n v="5"/>
    <x v="0"/>
    <x v="1"/>
    <x v="1"/>
    <x v="1"/>
    <x v="1"/>
    <n v="2"/>
    <n v="3"/>
  </r>
  <r>
    <x v="115"/>
    <x v="115"/>
    <x v="0"/>
    <d v="2024-06-20T00:00:00"/>
    <x v="0"/>
    <n v="15"/>
    <x v="1"/>
    <x v="0"/>
    <x v="0"/>
    <x v="0"/>
    <x v="0"/>
    <n v="5"/>
    <n v="60"/>
  </r>
  <r>
    <x v="116"/>
    <x v="116"/>
    <x v="2"/>
    <d v="2024-06-21T00:00:00"/>
    <x v="1"/>
    <n v="10"/>
    <x v="0"/>
    <x v="1"/>
    <x v="1"/>
    <x v="0"/>
    <x v="0"/>
    <n v="10"/>
    <n v="20"/>
  </r>
  <r>
    <x v="117"/>
    <x v="117"/>
    <x v="1"/>
    <d v="2024-06-22T00:00:00"/>
    <x v="0"/>
    <n v="5"/>
    <x v="2"/>
    <x v="1"/>
    <x v="1"/>
    <x v="1"/>
    <x v="1"/>
    <n v="0"/>
    <n v="5"/>
  </r>
  <r>
    <x v="118"/>
    <x v="93"/>
    <x v="0"/>
    <d v="2024-06-23T00:00:00"/>
    <x v="1"/>
    <n v="15"/>
    <x v="0"/>
    <x v="0"/>
    <x v="0"/>
    <x v="0"/>
    <x v="0"/>
    <n v="3"/>
    <n v="62"/>
  </r>
  <r>
    <x v="119"/>
    <x v="118"/>
    <x v="2"/>
    <d v="2024-06-24T00:00:00"/>
    <x v="0"/>
    <n v="10"/>
    <x v="1"/>
    <x v="1"/>
    <x v="1"/>
    <x v="0"/>
    <x v="0"/>
    <n v="15"/>
    <n v="15"/>
  </r>
  <r>
    <x v="120"/>
    <x v="119"/>
    <x v="1"/>
    <d v="2024-06-25T00:00:00"/>
    <x v="1"/>
    <n v="5"/>
    <x v="0"/>
    <x v="1"/>
    <x v="1"/>
    <x v="1"/>
    <x v="1"/>
    <n v="1"/>
    <n v="4"/>
  </r>
  <r>
    <x v="121"/>
    <x v="120"/>
    <x v="0"/>
    <d v="2024-06-26T00:00:00"/>
    <x v="0"/>
    <n v="15"/>
    <x v="2"/>
    <x v="0"/>
    <x v="0"/>
    <x v="0"/>
    <x v="0"/>
    <n v="7"/>
    <n v="58"/>
  </r>
  <r>
    <x v="122"/>
    <x v="121"/>
    <x v="2"/>
    <d v="2024-06-27T00:00:00"/>
    <x v="1"/>
    <n v="10"/>
    <x v="0"/>
    <x v="1"/>
    <x v="1"/>
    <x v="0"/>
    <x v="0"/>
    <n v="10"/>
    <n v="20"/>
  </r>
  <r>
    <x v="123"/>
    <x v="122"/>
    <x v="1"/>
    <d v="2024-06-28T00:00:00"/>
    <x v="0"/>
    <n v="5"/>
    <x v="1"/>
    <x v="1"/>
    <x v="1"/>
    <x v="1"/>
    <x v="1"/>
    <n v="0"/>
    <n v="5"/>
  </r>
  <r>
    <x v="124"/>
    <x v="123"/>
    <x v="0"/>
    <d v="2024-06-29T00:00:00"/>
    <x v="1"/>
    <n v="15"/>
    <x v="0"/>
    <x v="0"/>
    <x v="0"/>
    <x v="0"/>
    <x v="0"/>
    <n v="20"/>
    <n v="45"/>
  </r>
  <r>
    <x v="125"/>
    <x v="124"/>
    <x v="2"/>
    <d v="2024-06-30T00:00:00"/>
    <x v="0"/>
    <n v="10"/>
    <x v="2"/>
    <x v="1"/>
    <x v="1"/>
    <x v="0"/>
    <x v="0"/>
    <n v="15"/>
    <n v="15"/>
  </r>
  <r>
    <x v="126"/>
    <x v="125"/>
    <x v="1"/>
    <d v="2024-07-01T00:00:00"/>
    <x v="1"/>
    <n v="5"/>
    <x v="0"/>
    <x v="1"/>
    <x v="1"/>
    <x v="1"/>
    <x v="1"/>
    <n v="1"/>
    <n v="4"/>
  </r>
  <r>
    <x v="127"/>
    <x v="126"/>
    <x v="0"/>
    <d v="2024-07-02T00:00:00"/>
    <x v="0"/>
    <n v="15"/>
    <x v="1"/>
    <x v="0"/>
    <x v="0"/>
    <x v="0"/>
    <x v="0"/>
    <n v="3"/>
    <n v="62"/>
  </r>
  <r>
    <x v="128"/>
    <x v="127"/>
    <x v="2"/>
    <d v="2024-07-03T00:00:00"/>
    <x v="1"/>
    <n v="10"/>
    <x v="0"/>
    <x v="1"/>
    <x v="1"/>
    <x v="0"/>
    <x v="0"/>
    <n v="10"/>
    <n v="20"/>
  </r>
  <r>
    <x v="129"/>
    <x v="128"/>
    <x v="1"/>
    <d v="2024-07-04T00:00:00"/>
    <x v="0"/>
    <n v="5"/>
    <x v="2"/>
    <x v="1"/>
    <x v="1"/>
    <x v="1"/>
    <x v="1"/>
    <n v="0"/>
    <n v="5"/>
  </r>
  <r>
    <x v="130"/>
    <x v="129"/>
    <x v="0"/>
    <d v="2024-07-05T00:00:00"/>
    <x v="1"/>
    <n v="15"/>
    <x v="0"/>
    <x v="0"/>
    <x v="0"/>
    <x v="0"/>
    <x v="0"/>
    <n v="15"/>
    <n v="50"/>
  </r>
  <r>
    <x v="131"/>
    <x v="130"/>
    <x v="2"/>
    <d v="2024-07-06T00:00:00"/>
    <x v="0"/>
    <n v="10"/>
    <x v="1"/>
    <x v="1"/>
    <x v="1"/>
    <x v="0"/>
    <x v="0"/>
    <n v="15"/>
    <n v="15"/>
  </r>
  <r>
    <x v="132"/>
    <x v="131"/>
    <x v="1"/>
    <d v="2024-07-07T00:00:00"/>
    <x v="1"/>
    <n v="5"/>
    <x v="0"/>
    <x v="1"/>
    <x v="1"/>
    <x v="1"/>
    <x v="1"/>
    <n v="1"/>
    <n v="4"/>
  </r>
  <r>
    <x v="133"/>
    <x v="132"/>
    <x v="0"/>
    <d v="2024-07-08T00:00:00"/>
    <x v="0"/>
    <n v="15"/>
    <x v="2"/>
    <x v="0"/>
    <x v="0"/>
    <x v="0"/>
    <x v="0"/>
    <n v="7"/>
    <n v="58"/>
  </r>
  <r>
    <x v="134"/>
    <x v="133"/>
    <x v="2"/>
    <d v="2024-07-09T00:00:00"/>
    <x v="1"/>
    <n v="10"/>
    <x v="0"/>
    <x v="1"/>
    <x v="1"/>
    <x v="0"/>
    <x v="0"/>
    <n v="10"/>
    <n v="20"/>
  </r>
  <r>
    <x v="135"/>
    <x v="134"/>
    <x v="1"/>
    <d v="2024-07-10T00:00:00"/>
    <x v="0"/>
    <n v="5"/>
    <x v="0"/>
    <x v="1"/>
    <x v="1"/>
    <x v="1"/>
    <x v="1"/>
    <n v="0"/>
    <n v="5"/>
  </r>
  <r>
    <x v="136"/>
    <x v="135"/>
    <x v="0"/>
    <d v="2024-07-11T00:00:00"/>
    <x v="1"/>
    <n v="15"/>
    <x v="2"/>
    <x v="0"/>
    <x v="0"/>
    <x v="0"/>
    <x v="0"/>
    <n v="7"/>
    <n v="58"/>
  </r>
  <r>
    <x v="137"/>
    <x v="136"/>
    <x v="2"/>
    <d v="2024-07-12T00:00:00"/>
    <x v="0"/>
    <n v="10"/>
    <x v="1"/>
    <x v="1"/>
    <x v="1"/>
    <x v="0"/>
    <x v="0"/>
    <n v="10"/>
    <n v="20"/>
  </r>
  <r>
    <x v="138"/>
    <x v="137"/>
    <x v="1"/>
    <d v="2024-07-13T00:00:00"/>
    <x v="1"/>
    <n v="5"/>
    <x v="2"/>
    <x v="1"/>
    <x v="1"/>
    <x v="1"/>
    <x v="1"/>
    <n v="1"/>
    <n v="4"/>
  </r>
  <r>
    <x v="139"/>
    <x v="138"/>
    <x v="0"/>
    <d v="2024-07-14T00:00:00"/>
    <x v="0"/>
    <n v="15"/>
    <x v="0"/>
    <x v="0"/>
    <x v="0"/>
    <x v="0"/>
    <x v="0"/>
    <n v="15"/>
    <n v="50"/>
  </r>
  <r>
    <x v="140"/>
    <x v="139"/>
    <x v="2"/>
    <d v="2024-07-15T00:00:00"/>
    <x v="1"/>
    <n v="10"/>
    <x v="0"/>
    <x v="1"/>
    <x v="1"/>
    <x v="0"/>
    <x v="0"/>
    <n v="5"/>
    <n v="25"/>
  </r>
  <r>
    <x v="141"/>
    <x v="140"/>
    <x v="1"/>
    <d v="2024-07-16T00:00:00"/>
    <x v="0"/>
    <n v="5"/>
    <x v="1"/>
    <x v="1"/>
    <x v="1"/>
    <x v="1"/>
    <x v="1"/>
    <n v="0"/>
    <n v="5"/>
  </r>
  <r>
    <x v="142"/>
    <x v="141"/>
    <x v="0"/>
    <d v="2024-07-17T00:00:00"/>
    <x v="1"/>
    <n v="15"/>
    <x v="2"/>
    <x v="0"/>
    <x v="0"/>
    <x v="0"/>
    <x v="0"/>
    <n v="20"/>
    <n v="45"/>
  </r>
  <r>
    <x v="143"/>
    <x v="142"/>
    <x v="2"/>
    <d v="2024-07-18T00:00:00"/>
    <x v="0"/>
    <n v="10"/>
    <x v="2"/>
    <x v="1"/>
    <x v="1"/>
    <x v="0"/>
    <x v="0"/>
    <n v="12"/>
    <n v="18"/>
  </r>
  <r>
    <x v="144"/>
    <x v="143"/>
    <x v="1"/>
    <d v="2024-07-19T00:00:00"/>
    <x v="1"/>
    <n v="5"/>
    <x v="0"/>
    <x v="1"/>
    <x v="1"/>
    <x v="1"/>
    <x v="1"/>
    <n v="2"/>
    <n v="3"/>
  </r>
  <r>
    <x v="145"/>
    <x v="144"/>
    <x v="0"/>
    <d v="2024-07-20T00:00:00"/>
    <x v="0"/>
    <n v="15"/>
    <x v="1"/>
    <x v="0"/>
    <x v="0"/>
    <x v="0"/>
    <x v="0"/>
    <n v="5"/>
    <n v="60"/>
  </r>
  <r>
    <x v="146"/>
    <x v="145"/>
    <x v="2"/>
    <d v="2024-07-21T00:00:00"/>
    <x v="1"/>
    <n v="10"/>
    <x v="0"/>
    <x v="1"/>
    <x v="1"/>
    <x v="0"/>
    <x v="0"/>
    <n v="10"/>
    <n v="20"/>
  </r>
  <r>
    <x v="147"/>
    <x v="146"/>
    <x v="1"/>
    <d v="2024-07-22T00:00:00"/>
    <x v="0"/>
    <n v="5"/>
    <x v="2"/>
    <x v="1"/>
    <x v="1"/>
    <x v="1"/>
    <x v="1"/>
    <n v="0"/>
    <n v="5"/>
  </r>
  <r>
    <x v="148"/>
    <x v="147"/>
    <x v="0"/>
    <d v="2024-07-23T00:00:00"/>
    <x v="1"/>
    <n v="15"/>
    <x v="0"/>
    <x v="0"/>
    <x v="0"/>
    <x v="0"/>
    <x v="0"/>
    <n v="3"/>
    <n v="62"/>
  </r>
  <r>
    <x v="149"/>
    <x v="148"/>
    <x v="2"/>
    <d v="2024-07-24T00:00:00"/>
    <x v="0"/>
    <n v="10"/>
    <x v="1"/>
    <x v="1"/>
    <x v="1"/>
    <x v="0"/>
    <x v="0"/>
    <n v="15"/>
    <n v="15"/>
  </r>
  <r>
    <x v="150"/>
    <x v="149"/>
    <x v="1"/>
    <d v="2024-07-25T00:00:00"/>
    <x v="1"/>
    <n v="5"/>
    <x v="0"/>
    <x v="1"/>
    <x v="1"/>
    <x v="1"/>
    <x v="1"/>
    <n v="1"/>
    <n v="4"/>
  </r>
  <r>
    <x v="151"/>
    <x v="150"/>
    <x v="0"/>
    <d v="2024-07-26T00:00:00"/>
    <x v="0"/>
    <n v="15"/>
    <x v="2"/>
    <x v="0"/>
    <x v="0"/>
    <x v="0"/>
    <x v="0"/>
    <n v="7"/>
    <n v="58"/>
  </r>
  <r>
    <x v="152"/>
    <x v="151"/>
    <x v="2"/>
    <d v="2024-07-27T00:00:00"/>
    <x v="1"/>
    <n v="10"/>
    <x v="0"/>
    <x v="1"/>
    <x v="1"/>
    <x v="0"/>
    <x v="0"/>
    <n v="10"/>
    <n v="20"/>
  </r>
  <r>
    <x v="153"/>
    <x v="152"/>
    <x v="1"/>
    <d v="2024-07-28T00:00:00"/>
    <x v="0"/>
    <n v="5"/>
    <x v="1"/>
    <x v="1"/>
    <x v="1"/>
    <x v="1"/>
    <x v="1"/>
    <n v="0"/>
    <n v="5"/>
  </r>
  <r>
    <x v="154"/>
    <x v="153"/>
    <x v="0"/>
    <d v="2024-07-29T00:00:00"/>
    <x v="1"/>
    <n v="15"/>
    <x v="0"/>
    <x v="0"/>
    <x v="0"/>
    <x v="0"/>
    <x v="0"/>
    <n v="20"/>
    <n v="45"/>
  </r>
  <r>
    <x v="155"/>
    <x v="154"/>
    <x v="2"/>
    <d v="2024-07-30T00:00:00"/>
    <x v="0"/>
    <n v="10"/>
    <x v="2"/>
    <x v="1"/>
    <x v="1"/>
    <x v="0"/>
    <x v="0"/>
    <n v="15"/>
    <n v="15"/>
  </r>
  <r>
    <x v="156"/>
    <x v="155"/>
    <x v="1"/>
    <d v="2024-07-31T00:00:00"/>
    <x v="1"/>
    <n v="5"/>
    <x v="0"/>
    <x v="1"/>
    <x v="1"/>
    <x v="1"/>
    <x v="1"/>
    <n v="1"/>
    <n v="4"/>
  </r>
  <r>
    <x v="157"/>
    <x v="156"/>
    <x v="0"/>
    <d v="2024-08-01T00:00:00"/>
    <x v="0"/>
    <n v="15"/>
    <x v="1"/>
    <x v="0"/>
    <x v="0"/>
    <x v="0"/>
    <x v="0"/>
    <n v="3"/>
    <n v="62"/>
  </r>
  <r>
    <x v="158"/>
    <x v="157"/>
    <x v="2"/>
    <d v="2024-08-02T00:00:00"/>
    <x v="1"/>
    <n v="10"/>
    <x v="0"/>
    <x v="1"/>
    <x v="1"/>
    <x v="0"/>
    <x v="0"/>
    <n v="10"/>
    <n v="20"/>
  </r>
  <r>
    <x v="159"/>
    <x v="158"/>
    <x v="1"/>
    <d v="2024-08-03T00:00:00"/>
    <x v="0"/>
    <n v="5"/>
    <x v="2"/>
    <x v="1"/>
    <x v="1"/>
    <x v="1"/>
    <x v="1"/>
    <n v="0"/>
    <n v="5"/>
  </r>
  <r>
    <x v="160"/>
    <x v="58"/>
    <x v="0"/>
    <d v="2024-08-04T00:00:00"/>
    <x v="1"/>
    <n v="15"/>
    <x v="0"/>
    <x v="0"/>
    <x v="0"/>
    <x v="0"/>
    <x v="0"/>
    <n v="15"/>
    <n v="50"/>
  </r>
  <r>
    <x v="161"/>
    <x v="159"/>
    <x v="2"/>
    <d v="2024-08-05T00:00:00"/>
    <x v="0"/>
    <n v="10"/>
    <x v="1"/>
    <x v="1"/>
    <x v="1"/>
    <x v="0"/>
    <x v="0"/>
    <n v="15"/>
    <n v="15"/>
  </r>
  <r>
    <x v="162"/>
    <x v="160"/>
    <x v="1"/>
    <d v="2024-08-06T00:00:00"/>
    <x v="1"/>
    <n v="5"/>
    <x v="0"/>
    <x v="1"/>
    <x v="1"/>
    <x v="1"/>
    <x v="1"/>
    <n v="1"/>
    <n v="4"/>
  </r>
  <r>
    <x v="163"/>
    <x v="161"/>
    <x v="0"/>
    <d v="2024-08-07T00:00:00"/>
    <x v="0"/>
    <n v="15"/>
    <x v="2"/>
    <x v="0"/>
    <x v="0"/>
    <x v="0"/>
    <x v="0"/>
    <n v="7"/>
    <n v="58"/>
  </r>
  <r>
    <x v="164"/>
    <x v="162"/>
    <x v="2"/>
    <d v="2024-08-08T00:00:00"/>
    <x v="1"/>
    <n v="10"/>
    <x v="0"/>
    <x v="1"/>
    <x v="1"/>
    <x v="0"/>
    <x v="0"/>
    <n v="10"/>
    <n v="20"/>
  </r>
  <r>
    <x v="165"/>
    <x v="163"/>
    <x v="1"/>
    <d v="2024-08-09T00:00:00"/>
    <x v="0"/>
    <n v="5"/>
    <x v="1"/>
    <x v="1"/>
    <x v="1"/>
    <x v="1"/>
    <x v="1"/>
    <n v="0"/>
    <n v="5"/>
  </r>
  <r>
    <x v="166"/>
    <x v="90"/>
    <x v="0"/>
    <d v="2024-08-10T00:00:00"/>
    <x v="1"/>
    <n v="15"/>
    <x v="0"/>
    <x v="0"/>
    <x v="0"/>
    <x v="0"/>
    <x v="0"/>
    <n v="20"/>
    <n v="45"/>
  </r>
  <r>
    <x v="167"/>
    <x v="164"/>
    <x v="2"/>
    <d v="2024-08-11T00:00:00"/>
    <x v="0"/>
    <n v="10"/>
    <x v="2"/>
    <x v="1"/>
    <x v="1"/>
    <x v="0"/>
    <x v="0"/>
    <n v="15"/>
    <n v="15"/>
  </r>
  <r>
    <x v="168"/>
    <x v="165"/>
    <x v="1"/>
    <d v="2024-08-12T00:00:00"/>
    <x v="1"/>
    <n v="5"/>
    <x v="0"/>
    <x v="1"/>
    <x v="1"/>
    <x v="1"/>
    <x v="1"/>
    <n v="1"/>
    <n v="4"/>
  </r>
  <r>
    <x v="169"/>
    <x v="166"/>
    <x v="0"/>
    <d v="2024-08-13T00:00:00"/>
    <x v="0"/>
    <n v="15"/>
    <x v="1"/>
    <x v="0"/>
    <x v="0"/>
    <x v="0"/>
    <x v="0"/>
    <n v="5"/>
    <n v="60"/>
  </r>
  <r>
    <x v="170"/>
    <x v="167"/>
    <x v="2"/>
    <d v="2024-08-14T00:00:00"/>
    <x v="1"/>
    <n v="10"/>
    <x v="0"/>
    <x v="1"/>
    <x v="1"/>
    <x v="0"/>
    <x v="0"/>
    <n v="10"/>
    <n v="20"/>
  </r>
  <r>
    <x v="171"/>
    <x v="168"/>
    <x v="1"/>
    <d v="2024-08-15T00:00:00"/>
    <x v="0"/>
    <n v="5"/>
    <x v="2"/>
    <x v="1"/>
    <x v="1"/>
    <x v="1"/>
    <x v="1"/>
    <n v="0"/>
    <n v="5"/>
  </r>
  <r>
    <x v="172"/>
    <x v="169"/>
    <x v="0"/>
    <d v="2024-08-16T00:00:00"/>
    <x v="1"/>
    <n v="15"/>
    <x v="0"/>
    <x v="0"/>
    <x v="0"/>
    <x v="0"/>
    <x v="0"/>
    <n v="3"/>
    <n v="62"/>
  </r>
  <r>
    <x v="173"/>
    <x v="170"/>
    <x v="2"/>
    <d v="2024-08-17T00:00:00"/>
    <x v="0"/>
    <n v="10"/>
    <x v="1"/>
    <x v="1"/>
    <x v="1"/>
    <x v="0"/>
    <x v="0"/>
    <n v="15"/>
    <n v="15"/>
  </r>
  <r>
    <x v="174"/>
    <x v="171"/>
    <x v="1"/>
    <d v="2024-08-18T00:00:00"/>
    <x v="1"/>
    <n v="5"/>
    <x v="0"/>
    <x v="1"/>
    <x v="1"/>
    <x v="1"/>
    <x v="1"/>
    <n v="1"/>
    <n v="4"/>
  </r>
  <r>
    <x v="175"/>
    <x v="172"/>
    <x v="1"/>
    <d v="2024-08-19T00:00:00"/>
    <x v="0"/>
    <n v="5"/>
    <x v="0"/>
    <x v="1"/>
    <x v="1"/>
    <x v="1"/>
    <x v="1"/>
    <n v="0"/>
    <n v="5"/>
  </r>
  <r>
    <x v="176"/>
    <x v="173"/>
    <x v="0"/>
    <d v="2024-08-20T00:00:00"/>
    <x v="1"/>
    <n v="15"/>
    <x v="2"/>
    <x v="0"/>
    <x v="0"/>
    <x v="0"/>
    <x v="0"/>
    <n v="7"/>
    <n v="58"/>
  </r>
  <r>
    <x v="177"/>
    <x v="174"/>
    <x v="2"/>
    <d v="2024-08-21T00:00:00"/>
    <x v="0"/>
    <n v="10"/>
    <x v="1"/>
    <x v="1"/>
    <x v="1"/>
    <x v="0"/>
    <x v="0"/>
    <n v="10"/>
    <n v="20"/>
  </r>
  <r>
    <x v="178"/>
    <x v="175"/>
    <x v="1"/>
    <d v="2024-08-22T00:00:00"/>
    <x v="1"/>
    <n v="5"/>
    <x v="2"/>
    <x v="1"/>
    <x v="1"/>
    <x v="1"/>
    <x v="1"/>
    <n v="1"/>
    <n v="4"/>
  </r>
  <r>
    <x v="179"/>
    <x v="176"/>
    <x v="0"/>
    <d v="2024-08-23T00:00:00"/>
    <x v="0"/>
    <n v="15"/>
    <x v="0"/>
    <x v="0"/>
    <x v="0"/>
    <x v="0"/>
    <x v="0"/>
    <n v="15"/>
    <n v="50"/>
  </r>
  <r>
    <x v="180"/>
    <x v="177"/>
    <x v="2"/>
    <d v="2024-08-24T00:00:00"/>
    <x v="1"/>
    <n v="10"/>
    <x v="0"/>
    <x v="1"/>
    <x v="1"/>
    <x v="0"/>
    <x v="0"/>
    <n v="5"/>
    <n v="25"/>
  </r>
  <r>
    <x v="181"/>
    <x v="178"/>
    <x v="1"/>
    <d v="2024-08-25T00:00:00"/>
    <x v="0"/>
    <n v="5"/>
    <x v="1"/>
    <x v="1"/>
    <x v="1"/>
    <x v="1"/>
    <x v="1"/>
    <n v="0"/>
    <n v="5"/>
  </r>
  <r>
    <x v="182"/>
    <x v="179"/>
    <x v="0"/>
    <d v="2024-08-26T00:00:00"/>
    <x v="1"/>
    <n v="15"/>
    <x v="2"/>
    <x v="0"/>
    <x v="0"/>
    <x v="0"/>
    <x v="0"/>
    <n v="20"/>
    <n v="45"/>
  </r>
  <r>
    <x v="183"/>
    <x v="180"/>
    <x v="2"/>
    <d v="2024-08-27T00:00:00"/>
    <x v="0"/>
    <n v="10"/>
    <x v="2"/>
    <x v="1"/>
    <x v="1"/>
    <x v="0"/>
    <x v="0"/>
    <n v="12"/>
    <n v="18"/>
  </r>
  <r>
    <x v="184"/>
    <x v="181"/>
    <x v="1"/>
    <d v="2024-08-28T00:00:00"/>
    <x v="1"/>
    <n v="5"/>
    <x v="0"/>
    <x v="1"/>
    <x v="1"/>
    <x v="1"/>
    <x v="1"/>
    <n v="2"/>
    <n v="3"/>
  </r>
  <r>
    <x v="185"/>
    <x v="182"/>
    <x v="0"/>
    <d v="2024-08-29T00:00:00"/>
    <x v="0"/>
    <n v="15"/>
    <x v="1"/>
    <x v="0"/>
    <x v="0"/>
    <x v="0"/>
    <x v="0"/>
    <n v="5"/>
    <n v="60"/>
  </r>
  <r>
    <x v="186"/>
    <x v="183"/>
    <x v="2"/>
    <d v="2024-08-30T00:00:00"/>
    <x v="1"/>
    <n v="10"/>
    <x v="0"/>
    <x v="1"/>
    <x v="1"/>
    <x v="0"/>
    <x v="0"/>
    <n v="10"/>
    <n v="20"/>
  </r>
  <r>
    <x v="187"/>
    <x v="184"/>
    <x v="1"/>
    <d v="2024-08-31T00:00:00"/>
    <x v="0"/>
    <n v="5"/>
    <x v="2"/>
    <x v="1"/>
    <x v="1"/>
    <x v="1"/>
    <x v="1"/>
    <n v="0"/>
    <n v="5"/>
  </r>
  <r>
    <x v="188"/>
    <x v="185"/>
    <x v="0"/>
    <d v="2024-09-01T00:00:00"/>
    <x v="1"/>
    <n v="15"/>
    <x v="0"/>
    <x v="0"/>
    <x v="0"/>
    <x v="0"/>
    <x v="0"/>
    <n v="3"/>
    <n v="62"/>
  </r>
  <r>
    <x v="189"/>
    <x v="186"/>
    <x v="2"/>
    <d v="2024-09-02T00:00:00"/>
    <x v="0"/>
    <n v="10"/>
    <x v="1"/>
    <x v="1"/>
    <x v="1"/>
    <x v="0"/>
    <x v="0"/>
    <n v="15"/>
    <n v="15"/>
  </r>
  <r>
    <x v="190"/>
    <x v="15"/>
    <x v="1"/>
    <d v="2024-09-03T00:00:00"/>
    <x v="1"/>
    <n v="5"/>
    <x v="0"/>
    <x v="1"/>
    <x v="1"/>
    <x v="1"/>
    <x v="1"/>
    <n v="1"/>
    <n v="4"/>
  </r>
  <r>
    <x v="191"/>
    <x v="187"/>
    <x v="0"/>
    <d v="2024-09-04T00:00:00"/>
    <x v="0"/>
    <n v="15"/>
    <x v="2"/>
    <x v="0"/>
    <x v="0"/>
    <x v="0"/>
    <x v="0"/>
    <n v="7"/>
    <n v="58"/>
  </r>
  <r>
    <x v="192"/>
    <x v="188"/>
    <x v="2"/>
    <d v="2024-09-05T00:00:00"/>
    <x v="1"/>
    <n v="10"/>
    <x v="0"/>
    <x v="1"/>
    <x v="1"/>
    <x v="0"/>
    <x v="0"/>
    <n v="10"/>
    <n v="20"/>
  </r>
  <r>
    <x v="193"/>
    <x v="14"/>
    <x v="1"/>
    <d v="2024-09-06T00:00:00"/>
    <x v="0"/>
    <n v="5"/>
    <x v="1"/>
    <x v="1"/>
    <x v="1"/>
    <x v="1"/>
    <x v="1"/>
    <n v="0"/>
    <n v="5"/>
  </r>
  <r>
    <x v="194"/>
    <x v="189"/>
    <x v="0"/>
    <d v="2024-09-07T00:00:00"/>
    <x v="1"/>
    <n v="15"/>
    <x v="0"/>
    <x v="0"/>
    <x v="0"/>
    <x v="0"/>
    <x v="0"/>
    <n v="20"/>
    <n v="45"/>
  </r>
  <r>
    <x v="195"/>
    <x v="167"/>
    <x v="2"/>
    <d v="2024-09-08T00:00:00"/>
    <x v="0"/>
    <n v="10"/>
    <x v="2"/>
    <x v="1"/>
    <x v="1"/>
    <x v="0"/>
    <x v="0"/>
    <n v="15"/>
    <n v="15"/>
  </r>
  <r>
    <x v="196"/>
    <x v="190"/>
    <x v="1"/>
    <d v="2024-09-09T00:00:00"/>
    <x v="1"/>
    <n v="5"/>
    <x v="0"/>
    <x v="1"/>
    <x v="1"/>
    <x v="1"/>
    <x v="1"/>
    <n v="1"/>
    <n v="4"/>
  </r>
  <r>
    <x v="197"/>
    <x v="191"/>
    <x v="0"/>
    <d v="2024-09-10T00:00:00"/>
    <x v="0"/>
    <n v="15"/>
    <x v="1"/>
    <x v="0"/>
    <x v="0"/>
    <x v="0"/>
    <x v="0"/>
    <n v="3"/>
    <n v="62"/>
  </r>
  <r>
    <x v="198"/>
    <x v="192"/>
    <x v="2"/>
    <d v="2024-09-11T00:00:00"/>
    <x v="1"/>
    <n v="10"/>
    <x v="0"/>
    <x v="1"/>
    <x v="1"/>
    <x v="0"/>
    <x v="0"/>
    <n v="10"/>
    <n v="20"/>
  </r>
  <r>
    <x v="199"/>
    <x v="193"/>
    <x v="1"/>
    <d v="2024-09-12T00:00:00"/>
    <x v="0"/>
    <n v="5"/>
    <x v="2"/>
    <x v="1"/>
    <x v="1"/>
    <x v="1"/>
    <x v="1"/>
    <n v="0"/>
    <n v="5"/>
  </r>
  <r>
    <x v="200"/>
    <x v="194"/>
    <x v="0"/>
    <d v="2024-09-13T00:00:00"/>
    <x v="1"/>
    <n v="15"/>
    <x v="0"/>
    <x v="0"/>
    <x v="0"/>
    <x v="0"/>
    <x v="0"/>
    <n v="15"/>
    <n v="50"/>
  </r>
  <r>
    <x v="201"/>
    <x v="195"/>
    <x v="2"/>
    <d v="2024-09-14T00:00:00"/>
    <x v="0"/>
    <n v="10"/>
    <x v="1"/>
    <x v="1"/>
    <x v="1"/>
    <x v="0"/>
    <x v="0"/>
    <n v="15"/>
    <n v="15"/>
  </r>
  <r>
    <x v="202"/>
    <x v="196"/>
    <x v="1"/>
    <d v="2024-09-15T00:00:00"/>
    <x v="1"/>
    <n v="5"/>
    <x v="0"/>
    <x v="1"/>
    <x v="1"/>
    <x v="1"/>
    <x v="1"/>
    <n v="1"/>
    <n v="4"/>
  </r>
  <r>
    <x v="203"/>
    <x v="197"/>
    <x v="0"/>
    <d v="2024-09-16T00:00:00"/>
    <x v="0"/>
    <n v="15"/>
    <x v="2"/>
    <x v="0"/>
    <x v="0"/>
    <x v="0"/>
    <x v="0"/>
    <n v="7"/>
    <n v="58"/>
  </r>
  <r>
    <x v="204"/>
    <x v="198"/>
    <x v="2"/>
    <d v="2024-09-17T00:00:00"/>
    <x v="1"/>
    <n v="10"/>
    <x v="0"/>
    <x v="1"/>
    <x v="1"/>
    <x v="0"/>
    <x v="0"/>
    <n v="10"/>
    <n v="20"/>
  </r>
  <r>
    <x v="205"/>
    <x v="199"/>
    <x v="1"/>
    <d v="2024-09-18T00:00:00"/>
    <x v="0"/>
    <n v="5"/>
    <x v="0"/>
    <x v="1"/>
    <x v="1"/>
    <x v="1"/>
    <x v="1"/>
    <n v="0"/>
    <n v="5"/>
  </r>
  <r>
    <x v="206"/>
    <x v="200"/>
    <x v="0"/>
    <d v="2024-09-19T00:00:00"/>
    <x v="1"/>
    <n v="15"/>
    <x v="2"/>
    <x v="0"/>
    <x v="0"/>
    <x v="0"/>
    <x v="0"/>
    <n v="7"/>
    <n v="58"/>
  </r>
  <r>
    <x v="207"/>
    <x v="201"/>
    <x v="2"/>
    <d v="2024-09-20T00:00:00"/>
    <x v="0"/>
    <n v="10"/>
    <x v="1"/>
    <x v="1"/>
    <x v="1"/>
    <x v="0"/>
    <x v="0"/>
    <n v="10"/>
    <n v="20"/>
  </r>
  <r>
    <x v="208"/>
    <x v="202"/>
    <x v="1"/>
    <d v="2024-09-21T00:00:00"/>
    <x v="1"/>
    <n v="5"/>
    <x v="2"/>
    <x v="1"/>
    <x v="1"/>
    <x v="1"/>
    <x v="1"/>
    <n v="1"/>
    <n v="4"/>
  </r>
  <r>
    <x v="209"/>
    <x v="203"/>
    <x v="0"/>
    <d v="2024-09-22T00:00:00"/>
    <x v="0"/>
    <n v="15"/>
    <x v="0"/>
    <x v="0"/>
    <x v="0"/>
    <x v="0"/>
    <x v="0"/>
    <n v="15"/>
    <n v="50"/>
  </r>
  <r>
    <x v="210"/>
    <x v="204"/>
    <x v="2"/>
    <d v="2024-09-23T00:00:00"/>
    <x v="1"/>
    <n v="10"/>
    <x v="0"/>
    <x v="1"/>
    <x v="1"/>
    <x v="0"/>
    <x v="0"/>
    <n v="5"/>
    <n v="25"/>
  </r>
  <r>
    <x v="211"/>
    <x v="205"/>
    <x v="1"/>
    <d v="2024-09-24T00:00:00"/>
    <x v="0"/>
    <n v="5"/>
    <x v="1"/>
    <x v="1"/>
    <x v="1"/>
    <x v="1"/>
    <x v="1"/>
    <n v="0"/>
    <n v="5"/>
  </r>
  <r>
    <x v="212"/>
    <x v="206"/>
    <x v="0"/>
    <d v="2024-09-25T00:00:00"/>
    <x v="1"/>
    <n v="15"/>
    <x v="2"/>
    <x v="0"/>
    <x v="0"/>
    <x v="0"/>
    <x v="0"/>
    <n v="20"/>
    <n v="45"/>
  </r>
  <r>
    <x v="213"/>
    <x v="207"/>
    <x v="2"/>
    <d v="2024-09-26T00:00:00"/>
    <x v="0"/>
    <n v="10"/>
    <x v="2"/>
    <x v="1"/>
    <x v="1"/>
    <x v="0"/>
    <x v="0"/>
    <n v="12"/>
    <n v="18"/>
  </r>
  <r>
    <x v="214"/>
    <x v="37"/>
    <x v="1"/>
    <d v="2024-09-27T00:00:00"/>
    <x v="1"/>
    <n v="5"/>
    <x v="0"/>
    <x v="1"/>
    <x v="1"/>
    <x v="1"/>
    <x v="1"/>
    <n v="2"/>
    <n v="3"/>
  </r>
  <r>
    <x v="215"/>
    <x v="208"/>
    <x v="0"/>
    <d v="2024-09-28T00:00:00"/>
    <x v="0"/>
    <n v="15"/>
    <x v="1"/>
    <x v="0"/>
    <x v="0"/>
    <x v="0"/>
    <x v="0"/>
    <n v="5"/>
    <n v="60"/>
  </r>
  <r>
    <x v="216"/>
    <x v="209"/>
    <x v="2"/>
    <d v="2024-09-29T00:00:00"/>
    <x v="1"/>
    <n v="10"/>
    <x v="0"/>
    <x v="1"/>
    <x v="1"/>
    <x v="0"/>
    <x v="0"/>
    <n v="10"/>
    <n v="20"/>
  </r>
  <r>
    <x v="217"/>
    <x v="210"/>
    <x v="1"/>
    <d v="2024-09-30T00:00:00"/>
    <x v="0"/>
    <n v="5"/>
    <x v="2"/>
    <x v="1"/>
    <x v="1"/>
    <x v="1"/>
    <x v="1"/>
    <n v="0"/>
    <n v="5"/>
  </r>
  <r>
    <x v="218"/>
    <x v="211"/>
    <x v="0"/>
    <d v="2024-10-01T00:00:00"/>
    <x v="1"/>
    <n v="15"/>
    <x v="0"/>
    <x v="0"/>
    <x v="0"/>
    <x v="0"/>
    <x v="0"/>
    <n v="3"/>
    <n v="62"/>
  </r>
  <r>
    <x v="219"/>
    <x v="212"/>
    <x v="2"/>
    <d v="2024-10-02T00:00:00"/>
    <x v="0"/>
    <n v="10"/>
    <x v="1"/>
    <x v="1"/>
    <x v="1"/>
    <x v="0"/>
    <x v="0"/>
    <n v="15"/>
    <n v="15"/>
  </r>
  <r>
    <x v="220"/>
    <x v="213"/>
    <x v="1"/>
    <d v="2024-10-03T00:00:00"/>
    <x v="1"/>
    <n v="5"/>
    <x v="0"/>
    <x v="1"/>
    <x v="1"/>
    <x v="1"/>
    <x v="1"/>
    <n v="1"/>
    <n v="4"/>
  </r>
  <r>
    <x v="221"/>
    <x v="191"/>
    <x v="0"/>
    <d v="2024-10-04T00:00:00"/>
    <x v="0"/>
    <n v="15"/>
    <x v="2"/>
    <x v="0"/>
    <x v="0"/>
    <x v="0"/>
    <x v="0"/>
    <n v="7"/>
    <n v="58"/>
  </r>
  <r>
    <x v="222"/>
    <x v="45"/>
    <x v="2"/>
    <d v="2024-10-05T00:00:00"/>
    <x v="1"/>
    <n v="10"/>
    <x v="0"/>
    <x v="1"/>
    <x v="1"/>
    <x v="0"/>
    <x v="0"/>
    <n v="10"/>
    <n v="20"/>
  </r>
  <r>
    <x v="223"/>
    <x v="214"/>
    <x v="1"/>
    <d v="2024-10-06T00:00:00"/>
    <x v="0"/>
    <n v="5"/>
    <x v="1"/>
    <x v="1"/>
    <x v="1"/>
    <x v="1"/>
    <x v="1"/>
    <n v="0"/>
    <n v="5"/>
  </r>
  <r>
    <x v="224"/>
    <x v="215"/>
    <x v="0"/>
    <d v="2024-10-07T00:00:00"/>
    <x v="1"/>
    <n v="15"/>
    <x v="0"/>
    <x v="0"/>
    <x v="0"/>
    <x v="0"/>
    <x v="0"/>
    <n v="20"/>
    <n v="45"/>
  </r>
  <r>
    <x v="225"/>
    <x v="216"/>
    <x v="2"/>
    <d v="2024-10-08T00:00:00"/>
    <x v="0"/>
    <n v="10"/>
    <x v="2"/>
    <x v="1"/>
    <x v="1"/>
    <x v="0"/>
    <x v="0"/>
    <n v="15"/>
    <n v="15"/>
  </r>
  <r>
    <x v="226"/>
    <x v="217"/>
    <x v="1"/>
    <d v="2024-10-09T00:00:00"/>
    <x v="1"/>
    <n v="5"/>
    <x v="0"/>
    <x v="1"/>
    <x v="1"/>
    <x v="1"/>
    <x v="1"/>
    <n v="1"/>
    <n v="4"/>
  </r>
  <r>
    <x v="227"/>
    <x v="218"/>
    <x v="0"/>
    <d v="2024-10-10T00:00:00"/>
    <x v="0"/>
    <n v="15"/>
    <x v="1"/>
    <x v="0"/>
    <x v="0"/>
    <x v="0"/>
    <x v="0"/>
    <n v="3"/>
    <n v="62"/>
  </r>
  <r>
    <x v="228"/>
    <x v="219"/>
    <x v="2"/>
    <d v="2024-10-11T00:00:00"/>
    <x v="1"/>
    <n v="10"/>
    <x v="0"/>
    <x v="1"/>
    <x v="1"/>
    <x v="0"/>
    <x v="0"/>
    <n v="10"/>
    <n v="20"/>
  </r>
  <r>
    <x v="229"/>
    <x v="127"/>
    <x v="1"/>
    <d v="2024-10-12T00:00:00"/>
    <x v="0"/>
    <n v="5"/>
    <x v="2"/>
    <x v="1"/>
    <x v="1"/>
    <x v="1"/>
    <x v="1"/>
    <n v="0"/>
    <n v="5"/>
  </r>
  <r>
    <x v="230"/>
    <x v="220"/>
    <x v="0"/>
    <d v="2024-10-13T00:00:00"/>
    <x v="1"/>
    <n v="15"/>
    <x v="0"/>
    <x v="0"/>
    <x v="0"/>
    <x v="0"/>
    <x v="0"/>
    <n v="15"/>
    <n v="50"/>
  </r>
  <r>
    <x v="231"/>
    <x v="221"/>
    <x v="2"/>
    <d v="2024-10-14T00:00:00"/>
    <x v="0"/>
    <n v="10"/>
    <x v="1"/>
    <x v="1"/>
    <x v="1"/>
    <x v="0"/>
    <x v="0"/>
    <n v="15"/>
    <n v="15"/>
  </r>
  <r>
    <x v="232"/>
    <x v="222"/>
    <x v="1"/>
    <d v="2024-10-15T00:00:00"/>
    <x v="1"/>
    <n v="5"/>
    <x v="0"/>
    <x v="1"/>
    <x v="1"/>
    <x v="1"/>
    <x v="1"/>
    <n v="1"/>
    <n v="4"/>
  </r>
  <r>
    <x v="233"/>
    <x v="223"/>
    <x v="0"/>
    <d v="2024-10-16T00:00:00"/>
    <x v="0"/>
    <n v="15"/>
    <x v="2"/>
    <x v="0"/>
    <x v="0"/>
    <x v="0"/>
    <x v="0"/>
    <n v="7"/>
    <n v="58"/>
  </r>
  <r>
    <x v="234"/>
    <x v="224"/>
    <x v="2"/>
    <d v="2024-10-17T00:00:00"/>
    <x v="1"/>
    <n v="10"/>
    <x v="0"/>
    <x v="1"/>
    <x v="1"/>
    <x v="0"/>
    <x v="0"/>
    <n v="10"/>
    <n v="20"/>
  </r>
  <r>
    <x v="235"/>
    <x v="225"/>
    <x v="1"/>
    <d v="2024-10-18T00:00:00"/>
    <x v="0"/>
    <n v="5"/>
    <x v="1"/>
    <x v="1"/>
    <x v="1"/>
    <x v="1"/>
    <x v="1"/>
    <n v="0"/>
    <n v="5"/>
  </r>
  <r>
    <x v="236"/>
    <x v="226"/>
    <x v="0"/>
    <d v="2024-10-19T00:00:00"/>
    <x v="1"/>
    <n v="15"/>
    <x v="0"/>
    <x v="0"/>
    <x v="0"/>
    <x v="0"/>
    <x v="0"/>
    <n v="15"/>
    <n v="50"/>
  </r>
  <r>
    <x v="237"/>
    <x v="227"/>
    <x v="2"/>
    <d v="2024-10-20T00:00:00"/>
    <x v="0"/>
    <n v="10"/>
    <x v="2"/>
    <x v="1"/>
    <x v="1"/>
    <x v="0"/>
    <x v="0"/>
    <n v="12"/>
    <n v="18"/>
  </r>
  <r>
    <x v="238"/>
    <x v="228"/>
    <x v="1"/>
    <d v="2024-10-21T00:00:00"/>
    <x v="1"/>
    <n v="5"/>
    <x v="0"/>
    <x v="1"/>
    <x v="1"/>
    <x v="1"/>
    <x v="1"/>
    <n v="2"/>
    <n v="3"/>
  </r>
  <r>
    <x v="239"/>
    <x v="229"/>
    <x v="0"/>
    <d v="2024-10-22T00:00:00"/>
    <x v="0"/>
    <n v="15"/>
    <x v="1"/>
    <x v="0"/>
    <x v="0"/>
    <x v="0"/>
    <x v="0"/>
    <n v="5"/>
    <n v="60"/>
  </r>
  <r>
    <x v="240"/>
    <x v="230"/>
    <x v="2"/>
    <d v="2024-10-23T00:00:00"/>
    <x v="1"/>
    <n v="10"/>
    <x v="0"/>
    <x v="1"/>
    <x v="1"/>
    <x v="0"/>
    <x v="0"/>
    <n v="10"/>
    <n v="20"/>
  </r>
  <r>
    <x v="241"/>
    <x v="231"/>
    <x v="1"/>
    <d v="2024-10-24T00:00:00"/>
    <x v="0"/>
    <n v="5"/>
    <x v="2"/>
    <x v="1"/>
    <x v="1"/>
    <x v="1"/>
    <x v="1"/>
    <n v="0"/>
    <n v="5"/>
  </r>
  <r>
    <x v="242"/>
    <x v="140"/>
    <x v="0"/>
    <d v="2024-10-25T00:00:00"/>
    <x v="1"/>
    <n v="15"/>
    <x v="0"/>
    <x v="0"/>
    <x v="0"/>
    <x v="0"/>
    <x v="0"/>
    <n v="3"/>
    <n v="62"/>
  </r>
  <r>
    <x v="243"/>
    <x v="232"/>
    <x v="2"/>
    <d v="2024-10-26T00:00:00"/>
    <x v="0"/>
    <n v="10"/>
    <x v="1"/>
    <x v="1"/>
    <x v="1"/>
    <x v="0"/>
    <x v="0"/>
    <n v="15"/>
    <n v="15"/>
  </r>
  <r>
    <x v="244"/>
    <x v="233"/>
    <x v="1"/>
    <d v="2024-10-27T00:00:00"/>
    <x v="1"/>
    <n v="5"/>
    <x v="0"/>
    <x v="1"/>
    <x v="1"/>
    <x v="1"/>
    <x v="1"/>
    <n v="1"/>
    <n v="4"/>
  </r>
  <r>
    <x v="245"/>
    <x v="234"/>
    <x v="0"/>
    <d v="2024-10-28T00:00:00"/>
    <x v="0"/>
    <n v="15"/>
    <x v="2"/>
    <x v="0"/>
    <x v="0"/>
    <x v="0"/>
    <x v="0"/>
    <n v="7"/>
    <n v="58"/>
  </r>
  <r>
    <x v="246"/>
    <x v="235"/>
    <x v="2"/>
    <d v="2024-10-29T00:00:00"/>
    <x v="1"/>
    <n v="10"/>
    <x v="0"/>
    <x v="1"/>
    <x v="1"/>
    <x v="0"/>
    <x v="0"/>
    <n v="10"/>
    <n v="20"/>
  </r>
  <r>
    <x v="247"/>
    <x v="236"/>
    <x v="1"/>
    <d v="2024-10-30T00:00:00"/>
    <x v="0"/>
    <n v="5"/>
    <x v="1"/>
    <x v="1"/>
    <x v="1"/>
    <x v="1"/>
    <x v="1"/>
    <n v="0"/>
    <n v="5"/>
  </r>
  <r>
    <x v="248"/>
    <x v="237"/>
    <x v="0"/>
    <d v="2024-10-31T00:00:00"/>
    <x v="1"/>
    <n v="15"/>
    <x v="0"/>
    <x v="0"/>
    <x v="0"/>
    <x v="0"/>
    <x v="0"/>
    <n v="20"/>
    <n v="45"/>
  </r>
  <r>
    <x v="249"/>
    <x v="238"/>
    <x v="2"/>
    <d v="2024-11-01T00:00:00"/>
    <x v="0"/>
    <n v="10"/>
    <x v="2"/>
    <x v="1"/>
    <x v="1"/>
    <x v="0"/>
    <x v="0"/>
    <n v="15"/>
    <n v="15"/>
  </r>
  <r>
    <x v="250"/>
    <x v="239"/>
    <x v="1"/>
    <d v="2024-11-02T00:00:00"/>
    <x v="1"/>
    <n v="5"/>
    <x v="0"/>
    <x v="1"/>
    <x v="1"/>
    <x v="1"/>
    <x v="1"/>
    <n v="1"/>
    <n v="4"/>
  </r>
  <r>
    <x v="251"/>
    <x v="240"/>
    <x v="0"/>
    <d v="2024-11-03T00:00:00"/>
    <x v="0"/>
    <n v="15"/>
    <x v="1"/>
    <x v="0"/>
    <x v="0"/>
    <x v="0"/>
    <x v="0"/>
    <n v="3"/>
    <n v="62"/>
  </r>
  <r>
    <x v="252"/>
    <x v="241"/>
    <x v="2"/>
    <d v="2024-11-04T00:00:00"/>
    <x v="1"/>
    <n v="10"/>
    <x v="0"/>
    <x v="1"/>
    <x v="1"/>
    <x v="0"/>
    <x v="0"/>
    <n v="10"/>
    <n v="20"/>
  </r>
  <r>
    <x v="253"/>
    <x v="242"/>
    <x v="1"/>
    <d v="2024-11-05T00:00:00"/>
    <x v="0"/>
    <n v="5"/>
    <x v="2"/>
    <x v="1"/>
    <x v="1"/>
    <x v="1"/>
    <x v="1"/>
    <n v="0"/>
    <n v="5"/>
  </r>
  <r>
    <x v="254"/>
    <x v="243"/>
    <x v="0"/>
    <d v="2024-11-06T00:00:00"/>
    <x v="1"/>
    <n v="15"/>
    <x v="0"/>
    <x v="0"/>
    <x v="0"/>
    <x v="0"/>
    <x v="0"/>
    <n v="15"/>
    <n v="50"/>
  </r>
  <r>
    <x v="255"/>
    <x v="244"/>
    <x v="1"/>
    <d v="2024-11-07T00:00:00"/>
    <x v="0"/>
    <n v="5"/>
    <x v="0"/>
    <x v="1"/>
    <x v="1"/>
    <x v="1"/>
    <x v="1"/>
    <n v="0"/>
    <n v="5"/>
  </r>
  <r>
    <x v="256"/>
    <x v="245"/>
    <x v="0"/>
    <d v="2024-11-08T00:00:00"/>
    <x v="1"/>
    <n v="15"/>
    <x v="2"/>
    <x v="0"/>
    <x v="0"/>
    <x v="0"/>
    <x v="0"/>
    <n v="7"/>
    <n v="58"/>
  </r>
  <r>
    <x v="257"/>
    <x v="246"/>
    <x v="2"/>
    <d v="2024-11-09T00:00:00"/>
    <x v="0"/>
    <n v="10"/>
    <x v="1"/>
    <x v="1"/>
    <x v="1"/>
    <x v="0"/>
    <x v="0"/>
    <n v="10"/>
    <n v="20"/>
  </r>
  <r>
    <x v="258"/>
    <x v="247"/>
    <x v="1"/>
    <d v="2024-11-10T00:00:00"/>
    <x v="1"/>
    <n v="5"/>
    <x v="2"/>
    <x v="1"/>
    <x v="1"/>
    <x v="1"/>
    <x v="1"/>
    <n v="1"/>
    <n v="4"/>
  </r>
  <r>
    <x v="259"/>
    <x v="248"/>
    <x v="0"/>
    <d v="2024-11-11T00:00:00"/>
    <x v="0"/>
    <n v="15"/>
    <x v="0"/>
    <x v="0"/>
    <x v="0"/>
    <x v="0"/>
    <x v="0"/>
    <n v="15"/>
    <n v="50"/>
  </r>
  <r>
    <x v="260"/>
    <x v="249"/>
    <x v="2"/>
    <d v="2024-11-12T00:00:00"/>
    <x v="1"/>
    <n v="10"/>
    <x v="0"/>
    <x v="1"/>
    <x v="1"/>
    <x v="0"/>
    <x v="0"/>
    <n v="5"/>
    <n v="25"/>
  </r>
  <r>
    <x v="261"/>
    <x v="250"/>
    <x v="1"/>
    <d v="2024-11-13T00:00:00"/>
    <x v="0"/>
    <n v="5"/>
    <x v="1"/>
    <x v="1"/>
    <x v="1"/>
    <x v="1"/>
    <x v="1"/>
    <n v="0"/>
    <n v="5"/>
  </r>
  <r>
    <x v="262"/>
    <x v="251"/>
    <x v="0"/>
    <d v="2024-11-14T00:00:00"/>
    <x v="1"/>
    <n v="15"/>
    <x v="2"/>
    <x v="0"/>
    <x v="0"/>
    <x v="0"/>
    <x v="0"/>
    <n v="20"/>
    <n v="45"/>
  </r>
  <r>
    <x v="263"/>
    <x v="252"/>
    <x v="2"/>
    <d v="2024-11-15T00:00:00"/>
    <x v="0"/>
    <n v="10"/>
    <x v="2"/>
    <x v="1"/>
    <x v="1"/>
    <x v="0"/>
    <x v="0"/>
    <n v="12"/>
    <n v="18"/>
  </r>
  <r>
    <x v="264"/>
    <x v="253"/>
    <x v="1"/>
    <d v="2024-11-16T00:00:00"/>
    <x v="1"/>
    <n v="5"/>
    <x v="0"/>
    <x v="1"/>
    <x v="1"/>
    <x v="1"/>
    <x v="1"/>
    <n v="2"/>
    <n v="3"/>
  </r>
  <r>
    <x v="265"/>
    <x v="254"/>
    <x v="0"/>
    <d v="2024-11-17T00:00:00"/>
    <x v="0"/>
    <n v="15"/>
    <x v="1"/>
    <x v="0"/>
    <x v="0"/>
    <x v="0"/>
    <x v="0"/>
    <n v="5"/>
    <n v="60"/>
  </r>
  <r>
    <x v="266"/>
    <x v="255"/>
    <x v="2"/>
    <d v="2024-11-18T00:00:00"/>
    <x v="1"/>
    <n v="10"/>
    <x v="0"/>
    <x v="1"/>
    <x v="1"/>
    <x v="0"/>
    <x v="0"/>
    <n v="10"/>
    <n v="20"/>
  </r>
  <r>
    <x v="267"/>
    <x v="256"/>
    <x v="1"/>
    <d v="2024-11-19T00:00:00"/>
    <x v="0"/>
    <n v="5"/>
    <x v="2"/>
    <x v="1"/>
    <x v="1"/>
    <x v="1"/>
    <x v="1"/>
    <n v="0"/>
    <n v="5"/>
  </r>
  <r>
    <x v="268"/>
    <x v="257"/>
    <x v="0"/>
    <d v="2024-11-20T00:00:00"/>
    <x v="1"/>
    <n v="15"/>
    <x v="0"/>
    <x v="0"/>
    <x v="0"/>
    <x v="0"/>
    <x v="0"/>
    <n v="3"/>
    <n v="62"/>
  </r>
  <r>
    <x v="269"/>
    <x v="258"/>
    <x v="2"/>
    <d v="2024-11-21T00:00:00"/>
    <x v="0"/>
    <n v="10"/>
    <x v="1"/>
    <x v="1"/>
    <x v="1"/>
    <x v="0"/>
    <x v="0"/>
    <n v="15"/>
    <n v="15"/>
  </r>
  <r>
    <x v="270"/>
    <x v="259"/>
    <x v="1"/>
    <d v="2024-11-22T00:00:00"/>
    <x v="1"/>
    <n v="5"/>
    <x v="0"/>
    <x v="1"/>
    <x v="1"/>
    <x v="1"/>
    <x v="1"/>
    <n v="1"/>
    <n v="4"/>
  </r>
  <r>
    <x v="271"/>
    <x v="260"/>
    <x v="0"/>
    <d v="2024-11-23T00:00:00"/>
    <x v="0"/>
    <n v="15"/>
    <x v="2"/>
    <x v="0"/>
    <x v="0"/>
    <x v="0"/>
    <x v="0"/>
    <n v="7"/>
    <n v="58"/>
  </r>
  <r>
    <x v="272"/>
    <x v="119"/>
    <x v="2"/>
    <d v="2024-11-24T00:00:00"/>
    <x v="1"/>
    <n v="10"/>
    <x v="0"/>
    <x v="1"/>
    <x v="1"/>
    <x v="0"/>
    <x v="0"/>
    <n v="10"/>
    <n v="20"/>
  </r>
  <r>
    <x v="273"/>
    <x v="261"/>
    <x v="1"/>
    <d v="2024-11-25T00:00:00"/>
    <x v="0"/>
    <n v="5"/>
    <x v="1"/>
    <x v="1"/>
    <x v="1"/>
    <x v="1"/>
    <x v="1"/>
    <n v="0"/>
    <n v="5"/>
  </r>
  <r>
    <x v="274"/>
    <x v="262"/>
    <x v="0"/>
    <d v="2024-11-26T00:00:00"/>
    <x v="1"/>
    <n v="15"/>
    <x v="0"/>
    <x v="0"/>
    <x v="0"/>
    <x v="0"/>
    <x v="0"/>
    <n v="20"/>
    <n v="45"/>
  </r>
  <r>
    <x v="275"/>
    <x v="263"/>
    <x v="2"/>
    <d v="2024-11-27T00:00:00"/>
    <x v="0"/>
    <n v="10"/>
    <x v="2"/>
    <x v="1"/>
    <x v="1"/>
    <x v="0"/>
    <x v="0"/>
    <n v="15"/>
    <n v="15"/>
  </r>
  <r>
    <x v="276"/>
    <x v="264"/>
    <x v="1"/>
    <d v="2024-11-28T00:00:00"/>
    <x v="1"/>
    <n v="5"/>
    <x v="0"/>
    <x v="1"/>
    <x v="1"/>
    <x v="1"/>
    <x v="1"/>
    <n v="1"/>
    <n v="4"/>
  </r>
  <r>
    <x v="277"/>
    <x v="265"/>
    <x v="0"/>
    <d v="2024-11-29T00:00:00"/>
    <x v="0"/>
    <n v="15"/>
    <x v="1"/>
    <x v="0"/>
    <x v="0"/>
    <x v="0"/>
    <x v="0"/>
    <n v="3"/>
    <n v="62"/>
  </r>
  <r>
    <x v="278"/>
    <x v="266"/>
    <x v="2"/>
    <d v="2024-11-30T00:00:00"/>
    <x v="1"/>
    <n v="10"/>
    <x v="0"/>
    <x v="1"/>
    <x v="1"/>
    <x v="0"/>
    <x v="0"/>
    <n v="10"/>
    <n v="20"/>
  </r>
  <r>
    <x v="279"/>
    <x v="267"/>
    <x v="1"/>
    <d v="2024-12-01T00:00:00"/>
    <x v="0"/>
    <n v="5"/>
    <x v="2"/>
    <x v="1"/>
    <x v="1"/>
    <x v="1"/>
    <x v="1"/>
    <n v="0"/>
    <n v="5"/>
  </r>
  <r>
    <x v="280"/>
    <x v="268"/>
    <x v="0"/>
    <d v="2024-12-02T00:00:00"/>
    <x v="1"/>
    <n v="15"/>
    <x v="0"/>
    <x v="0"/>
    <x v="0"/>
    <x v="0"/>
    <x v="0"/>
    <n v="15"/>
    <n v="50"/>
  </r>
  <r>
    <x v="281"/>
    <x v="269"/>
    <x v="2"/>
    <d v="2024-12-03T00:00:00"/>
    <x v="0"/>
    <n v="10"/>
    <x v="1"/>
    <x v="1"/>
    <x v="1"/>
    <x v="0"/>
    <x v="0"/>
    <n v="15"/>
    <n v="15"/>
  </r>
  <r>
    <x v="282"/>
    <x v="270"/>
    <x v="1"/>
    <d v="2024-12-04T00:00:00"/>
    <x v="1"/>
    <n v="5"/>
    <x v="0"/>
    <x v="1"/>
    <x v="1"/>
    <x v="1"/>
    <x v="1"/>
    <n v="1"/>
    <n v="4"/>
  </r>
  <r>
    <x v="283"/>
    <x v="271"/>
    <x v="0"/>
    <d v="2024-12-05T00:00:00"/>
    <x v="0"/>
    <n v="15"/>
    <x v="2"/>
    <x v="0"/>
    <x v="0"/>
    <x v="0"/>
    <x v="0"/>
    <n v="7"/>
    <n v="58"/>
  </r>
  <r>
    <x v="284"/>
    <x v="130"/>
    <x v="2"/>
    <d v="2024-12-06T00:00:00"/>
    <x v="1"/>
    <n v="10"/>
    <x v="0"/>
    <x v="1"/>
    <x v="1"/>
    <x v="0"/>
    <x v="0"/>
    <n v="10"/>
    <n v="20"/>
  </r>
  <r>
    <x v="285"/>
    <x v="131"/>
    <x v="1"/>
    <d v="2024-12-07T00:00:00"/>
    <x v="0"/>
    <n v="5"/>
    <x v="1"/>
    <x v="1"/>
    <x v="1"/>
    <x v="1"/>
    <x v="1"/>
    <n v="0"/>
    <n v="5"/>
  </r>
  <r>
    <x v="286"/>
    <x v="181"/>
    <x v="0"/>
    <d v="2024-12-08T00:00:00"/>
    <x v="1"/>
    <n v="15"/>
    <x v="0"/>
    <x v="0"/>
    <x v="0"/>
    <x v="0"/>
    <x v="0"/>
    <n v="20"/>
    <n v="45"/>
  </r>
  <r>
    <x v="287"/>
    <x v="272"/>
    <x v="2"/>
    <d v="2024-12-09T00:00:00"/>
    <x v="0"/>
    <n v="10"/>
    <x v="2"/>
    <x v="1"/>
    <x v="1"/>
    <x v="0"/>
    <x v="0"/>
    <n v="12"/>
    <n v="18"/>
  </r>
  <r>
    <x v="288"/>
    <x v="273"/>
    <x v="1"/>
    <d v="2024-12-10T00:00:00"/>
    <x v="1"/>
    <n v="5"/>
    <x v="0"/>
    <x v="1"/>
    <x v="1"/>
    <x v="1"/>
    <x v="1"/>
    <n v="2"/>
    <n v="3"/>
  </r>
  <r>
    <x v="289"/>
    <x v="274"/>
    <x v="0"/>
    <d v="2024-12-11T00:00:00"/>
    <x v="0"/>
    <n v="15"/>
    <x v="1"/>
    <x v="0"/>
    <x v="0"/>
    <x v="0"/>
    <x v="0"/>
    <n v="5"/>
    <n v="60"/>
  </r>
  <r>
    <x v="290"/>
    <x v="275"/>
    <x v="2"/>
    <d v="2024-12-12T00:00:00"/>
    <x v="1"/>
    <n v="10"/>
    <x v="0"/>
    <x v="1"/>
    <x v="1"/>
    <x v="0"/>
    <x v="0"/>
    <n v="10"/>
    <n v="20"/>
  </r>
  <r>
    <x v="291"/>
    <x v="276"/>
    <x v="1"/>
    <d v="2024-12-13T00:00:00"/>
    <x v="0"/>
    <n v="5"/>
    <x v="2"/>
    <x v="1"/>
    <x v="1"/>
    <x v="1"/>
    <x v="1"/>
    <n v="0"/>
    <n v="5"/>
  </r>
  <r>
    <x v="292"/>
    <x v="277"/>
    <x v="0"/>
    <d v="2024-12-14T00:00:00"/>
    <x v="1"/>
    <n v="15"/>
    <x v="0"/>
    <x v="0"/>
    <x v="0"/>
    <x v="0"/>
    <x v="0"/>
    <n v="3"/>
    <n v="62"/>
  </r>
  <r>
    <x v="293"/>
    <x v="278"/>
    <x v="2"/>
    <d v="2024-12-15T00:00:00"/>
    <x v="0"/>
    <n v="10"/>
    <x v="1"/>
    <x v="1"/>
    <x v="1"/>
    <x v="0"/>
    <x v="0"/>
    <n v="15"/>
    <n v="15"/>
  </r>
  <r>
    <x v="294"/>
    <x v="279"/>
    <x v="1"/>
    <d v="2024-12-16T00:00:00"/>
    <x v="1"/>
    <n v="5"/>
    <x v="0"/>
    <x v="1"/>
    <x v="1"/>
    <x v="1"/>
    <x v="1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ED04EB-F854-4A6F-8D73-0DA200C936AC}" name="mine_season_pass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21:K25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2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B781B0-DC5E-4FFE-93EA-23739C50000F}" name="ea_season_pass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21:I25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951561-BE7C-4CEF-8EFF-0DA387A0DA14}" name="Tabela dinâmica6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8:C32" firstHeaderRow="1" firstDataRow="1" firstDataCol="1"/>
  <pivotFields count="13">
    <pivotField showAll="0"/>
    <pivotField showAll="0"/>
    <pivotField showAll="0"/>
    <pivotField numFmtId="14" showAll="0"/>
    <pivotField showAll="0"/>
    <pivotField numFmtId="44" showAll="0"/>
    <pivotField name="PLANOS"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" fld="12" baseField="6" baseItem="0" numFmtId="4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E02418-F245-41AC-8196-5E2B6E7823C0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2:C15" firstHeaderRow="1" firstDataRow="1" firstDataCol="1"/>
  <pivotFields count="13">
    <pivotField showAll="0"/>
    <pivotField showAll="0"/>
    <pivotField showAll="0"/>
    <pivotField numFmtId="14" showAll="0"/>
    <pivotField showAll="0"/>
    <pivotField numFmtId="44" showAll="0"/>
    <pivotField showAll="0">
      <items count="4">
        <item x="1"/>
        <item x="0"/>
        <item x="2"/>
        <item t="default"/>
      </items>
    </pivotField>
    <pivotField axis="axisRow"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multipleItemSelectionAllowed="1" showAll="0">
      <items count="3">
        <item x="1"/>
        <item h="1" x="0"/>
        <item t="default"/>
      </items>
    </pivotField>
    <pivotField numFmtId="44" showAll="0">
      <items count="3">
        <item x="1"/>
        <item x="0"/>
        <item t="default"/>
      </items>
    </pivotField>
    <pivotField numFmtId="44" showAll="0"/>
    <pivotField dataField="1" numFmtId="44"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ED4898-7804-485E-8CEF-5B7697AA5250}" name="Tabela dinâmica7" cacheId="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5">
  <location ref="H33:I36" firstHeaderRow="1" firstDataRow="1" firstDataCol="1" rowPageCount="1" colPageCount="1"/>
  <pivotFields count="13">
    <pivotField showAll="0"/>
    <pivotField dataField="1" showAll="0"/>
    <pivotField axis="axisPage"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Contagem de Name" fld="1" subtotal="count" baseField="0" baseItem="0"/>
  </dataFields>
  <chartFormats count="3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55FD6D-23C7-4882-9686-05FE972F5B8F}" name="Tabela dinâ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 rowHeaderCaption="PLANOS" colHeaderCaption="RENOVAÇÃO AUTOMATICA">
  <location ref="B20:C24" firstHeaderRow="1" firstDataRow="1" firstDataCol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name="RENOVAÇÃO AUTOMATICA" showAll="0">
      <items count="3">
        <item x="1"/>
        <item x="0"/>
        <item t="default"/>
      </items>
    </pivotField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4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1786D2-CD17-460D-AB3A-FDBA01A95A9C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12:I15" firstHeaderRow="1" firstDataRow="1" firstDataCol="1" rowPageCount="1" colPageCount="1"/>
  <pivotFields count="13">
    <pivotField showAll="0"/>
    <pivotField showAll="0"/>
    <pivotField showAll="0"/>
    <pivotField numFmtId="14" showAll="0"/>
    <pivotField showAll="0"/>
    <pivotField numFmtId="44" showAll="0"/>
    <pivotField showAll="0"/>
    <pivotField axis="axisPage" multipleItemSelectionAllowed="1" showAll="0">
      <items count="3">
        <item x="1"/>
        <item h="1" x="0"/>
        <item t="default"/>
      </items>
    </pivotField>
    <pivotField showAll="0"/>
    <pivotField axis="axisRow" showAll="0">
      <items count="3">
        <item sd="0" x="1"/>
        <item sd="0" x="0"/>
        <item t="default"/>
      </items>
    </pivotField>
    <pivotField numFmtId="44" showAll="0"/>
    <pivotField numFmtId="44" showAll="0"/>
    <pivotField dataField="1" numFmtId="44" showAll="0"/>
  </pivotFields>
  <rowFields count="1">
    <field x="9"/>
  </rowFields>
  <rowItems count="3">
    <i>
      <x/>
    </i>
    <i>
      <x v="1"/>
    </i>
    <i t="grand">
      <x/>
    </i>
  </rowItems>
  <colItems count="1">
    <i/>
  </colItems>
  <pageFields count="1">
    <pageField fld="7" hier="-1"/>
  </pageFields>
  <dataFields count="1">
    <dataField name="Soma de Total Value" fld="12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85E77EC-5972-46DA-8A34-F360924930EB}" sourceName="Subscription Type">
  <pivotTables>
    <pivotTable tabId="3" name="Tabela dinâmica6"/>
    <pivotTable tabId="3" name="ea_season_pass"/>
    <pivotTable tabId="3" name="mine_season_pass"/>
    <pivotTable tabId="3" name="Tabela dinâmica1"/>
    <pivotTable tabId="3" name="Tabela dinâmica7"/>
  </pivotTables>
  <data>
    <tabular pivotCacheId="1884921711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NOS" xr10:uid="{C155FA21-425D-4C5F-A1C7-C3976AB9F012}" cache="SegmentaçãodeDados_Subscription_Type" caption="PLANOS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5" sqref="B5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A2" sqref="A2:M294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K36"/>
  <sheetViews>
    <sheetView showGridLines="0" workbookViewId="0">
      <selection activeCell="H33" sqref="H33"/>
    </sheetView>
  </sheetViews>
  <sheetFormatPr defaultRowHeight="15" x14ac:dyDescent="0.25"/>
  <cols>
    <col min="2" max="2" width="18.42578125" bestFit="1" customWidth="1"/>
    <col min="3" max="3" width="19.28515625" bestFit="1" customWidth="1"/>
    <col min="4" max="6" width="19.28515625" customWidth="1"/>
    <col min="7" max="7" width="12.28515625" bestFit="1" customWidth="1"/>
    <col min="8" max="8" width="18.42578125" bestFit="1" customWidth="1"/>
    <col min="9" max="9" width="27.7109375" bestFit="1" customWidth="1"/>
    <col min="10" max="10" width="18.42578125" bestFit="1" customWidth="1"/>
    <col min="11" max="11" width="35.140625" bestFit="1" customWidth="1"/>
    <col min="12" max="12" width="21.140625" bestFit="1" customWidth="1"/>
    <col min="13" max="14" width="35.140625" bestFit="1" customWidth="1"/>
    <col min="15" max="18" width="9.7109375" bestFit="1" customWidth="1"/>
    <col min="19" max="19" width="15.5703125" bestFit="1" customWidth="1"/>
    <col min="20" max="20" width="12.140625" bestFit="1" customWidth="1"/>
  </cols>
  <sheetData>
    <row r="2" spans="2:9" x14ac:dyDescent="0.25">
      <c r="B2" t="s">
        <v>313</v>
      </c>
    </row>
    <row r="3" spans="2:9" x14ac:dyDescent="0.25">
      <c r="B3" t="s">
        <v>314</v>
      </c>
    </row>
    <row r="4" spans="2:9" x14ac:dyDescent="0.25">
      <c r="B4" t="s">
        <v>315</v>
      </c>
    </row>
    <row r="5" spans="2:9" x14ac:dyDescent="0.25">
      <c r="B5" t="s">
        <v>316</v>
      </c>
    </row>
    <row r="6" spans="2:9" x14ac:dyDescent="0.25">
      <c r="B6" t="s">
        <v>327</v>
      </c>
    </row>
    <row r="9" spans="2:9" x14ac:dyDescent="0.25">
      <c r="H9" t="s">
        <v>321</v>
      </c>
    </row>
    <row r="10" spans="2:9" x14ac:dyDescent="0.25">
      <c r="H10" s="13" t="s">
        <v>309</v>
      </c>
      <c r="I10" t="s">
        <v>23</v>
      </c>
    </row>
    <row r="11" spans="2:9" x14ac:dyDescent="0.25">
      <c r="B11" t="s">
        <v>320</v>
      </c>
    </row>
    <row r="12" spans="2:9" x14ac:dyDescent="0.25">
      <c r="B12" s="13" t="s">
        <v>318</v>
      </c>
      <c r="C12" t="s">
        <v>317</v>
      </c>
      <c r="H12" s="13" t="s">
        <v>318</v>
      </c>
      <c r="I12" t="s">
        <v>317</v>
      </c>
    </row>
    <row r="13" spans="2:9" x14ac:dyDescent="0.25">
      <c r="B13" s="14" t="s">
        <v>23</v>
      </c>
      <c r="C13" s="12">
        <v>2245</v>
      </c>
      <c r="D13" s="12"/>
      <c r="E13" s="12"/>
      <c r="F13" s="12"/>
      <c r="H13" s="14" t="s">
        <v>23</v>
      </c>
      <c r="I13" s="12">
        <v>444</v>
      </c>
    </row>
    <row r="14" spans="2:9" x14ac:dyDescent="0.25">
      <c r="B14" s="14" t="s">
        <v>19</v>
      </c>
      <c r="C14" s="12">
        <v>5388</v>
      </c>
      <c r="D14" s="12"/>
      <c r="E14" s="12"/>
      <c r="F14" s="12"/>
      <c r="H14" s="14" t="s">
        <v>19</v>
      </c>
      <c r="I14" s="12">
        <v>1801</v>
      </c>
    </row>
    <row r="15" spans="2:9" x14ac:dyDescent="0.25">
      <c r="B15" s="14" t="s">
        <v>319</v>
      </c>
      <c r="C15" s="12">
        <v>7633</v>
      </c>
      <c r="D15" s="12"/>
      <c r="E15" s="12"/>
      <c r="F15" s="12"/>
      <c r="H15" s="14" t="s">
        <v>319</v>
      </c>
      <c r="I15" s="12">
        <v>2245</v>
      </c>
    </row>
    <row r="19" spans="2:11" x14ac:dyDescent="0.25">
      <c r="B19" t="s">
        <v>325</v>
      </c>
      <c r="H19" s="13" t="s">
        <v>16</v>
      </c>
      <c r="I19" t="s">
        <v>330</v>
      </c>
      <c r="J19" s="13" t="s">
        <v>16</v>
      </c>
      <c r="K19" t="s">
        <v>330</v>
      </c>
    </row>
    <row r="20" spans="2:11" x14ac:dyDescent="0.25">
      <c r="B20" s="13" t="s">
        <v>322</v>
      </c>
      <c r="C20" t="s">
        <v>317</v>
      </c>
    </row>
    <row r="21" spans="2:11" x14ac:dyDescent="0.25">
      <c r="B21" s="14" t="s">
        <v>22</v>
      </c>
      <c r="C21" s="12">
        <v>444</v>
      </c>
      <c r="D21" s="12"/>
      <c r="E21" s="12"/>
      <c r="F21" s="12"/>
      <c r="H21" s="13" t="s">
        <v>318</v>
      </c>
      <c r="I21" t="s">
        <v>332</v>
      </c>
      <c r="J21" s="13" t="s">
        <v>318</v>
      </c>
      <c r="K21" t="s">
        <v>331</v>
      </c>
    </row>
    <row r="22" spans="2:11" x14ac:dyDescent="0.25">
      <c r="B22" s="14" t="s">
        <v>26</v>
      </c>
      <c r="C22" s="12">
        <v>1801</v>
      </c>
      <c r="D22" s="12"/>
      <c r="E22" s="12"/>
      <c r="F22" s="12"/>
      <c r="H22" s="14" t="s">
        <v>22</v>
      </c>
      <c r="I22" s="17">
        <v>0</v>
      </c>
      <c r="J22" s="14" t="s">
        <v>22</v>
      </c>
      <c r="K22" s="12">
        <v>0</v>
      </c>
    </row>
    <row r="23" spans="2:11" x14ac:dyDescent="0.25">
      <c r="B23" s="14" t="s">
        <v>18</v>
      </c>
      <c r="C23" s="12">
        <v>5388</v>
      </c>
      <c r="D23" s="12"/>
      <c r="E23" s="12"/>
      <c r="F23" s="12"/>
      <c r="H23" s="14" t="s">
        <v>26</v>
      </c>
      <c r="I23" s="17">
        <v>0</v>
      </c>
      <c r="J23" s="14" t="s">
        <v>26</v>
      </c>
      <c r="K23" s="12">
        <v>1920</v>
      </c>
    </row>
    <row r="24" spans="2:11" x14ac:dyDescent="0.25">
      <c r="B24" s="14" t="s">
        <v>319</v>
      </c>
      <c r="C24" s="12">
        <v>7633</v>
      </c>
      <c r="D24" s="12"/>
      <c r="E24" s="12"/>
      <c r="F24" s="12"/>
      <c r="H24" s="14" t="s">
        <v>18</v>
      </c>
      <c r="I24" s="17">
        <v>2940</v>
      </c>
      <c r="J24" s="14" t="s">
        <v>18</v>
      </c>
      <c r="K24" s="12">
        <v>1960</v>
      </c>
    </row>
    <row r="25" spans="2:11" x14ac:dyDescent="0.25">
      <c r="H25" s="14" t="s">
        <v>319</v>
      </c>
      <c r="I25" s="17">
        <v>2940</v>
      </c>
      <c r="J25" s="14" t="s">
        <v>319</v>
      </c>
      <c r="K25" s="12">
        <v>3880</v>
      </c>
    </row>
    <row r="26" spans="2:11" x14ac:dyDescent="0.25">
      <c r="I26" s="18">
        <f>GETPIVOTDATA("EA Play Season Pass
Price",$H$21)</f>
        <v>2940</v>
      </c>
      <c r="K26" s="18">
        <f>GETPIVOTDATA("Minecraft Season Pass Price",$J$21)</f>
        <v>3880</v>
      </c>
    </row>
    <row r="27" spans="2:11" x14ac:dyDescent="0.25">
      <c r="B27" s="14" t="s">
        <v>324</v>
      </c>
      <c r="H27" t="s">
        <v>326</v>
      </c>
    </row>
    <row r="28" spans="2:11" x14ac:dyDescent="0.25">
      <c r="B28" s="13" t="s">
        <v>318</v>
      </c>
      <c r="C28" t="s">
        <v>328</v>
      </c>
    </row>
    <row r="29" spans="2:11" x14ac:dyDescent="0.25">
      <c r="B29" s="14" t="s">
        <v>24</v>
      </c>
      <c r="C29" s="12">
        <v>1754</v>
      </c>
      <c r="D29" s="12"/>
      <c r="E29" s="12"/>
      <c r="F29" s="12"/>
    </row>
    <row r="30" spans="2:11" x14ac:dyDescent="0.25">
      <c r="B30" s="14" t="s">
        <v>20</v>
      </c>
      <c r="C30" s="12">
        <v>3571</v>
      </c>
      <c r="D30" s="12"/>
      <c r="E30" s="12"/>
      <c r="F30" s="12"/>
    </row>
    <row r="31" spans="2:11" x14ac:dyDescent="0.25">
      <c r="B31" s="14" t="s">
        <v>27</v>
      </c>
      <c r="C31" s="12">
        <v>2308</v>
      </c>
      <c r="D31" s="12"/>
      <c r="E31" s="12"/>
      <c r="F31" s="12"/>
      <c r="H31" s="13" t="s">
        <v>13</v>
      </c>
      <c r="I31" t="s">
        <v>330</v>
      </c>
    </row>
    <row r="32" spans="2:11" x14ac:dyDescent="0.25">
      <c r="B32" s="14" t="s">
        <v>319</v>
      </c>
      <c r="C32" s="12">
        <v>7633</v>
      </c>
      <c r="D32" s="12"/>
      <c r="E32" s="12"/>
      <c r="F32" s="12"/>
    </row>
    <row r="33" spans="8:9" x14ac:dyDescent="0.25">
      <c r="H33" s="13" t="s">
        <v>318</v>
      </c>
      <c r="I33" t="s">
        <v>323</v>
      </c>
    </row>
    <row r="34" spans="8:9" x14ac:dyDescent="0.25">
      <c r="H34" s="14" t="s">
        <v>23</v>
      </c>
      <c r="I34" s="17">
        <v>147</v>
      </c>
    </row>
    <row r="35" spans="8:9" x14ac:dyDescent="0.25">
      <c r="H35" s="14" t="s">
        <v>19</v>
      </c>
      <c r="I35" s="17">
        <v>148</v>
      </c>
    </row>
    <row r="36" spans="8:9" x14ac:dyDescent="0.25">
      <c r="H36" s="14" t="s">
        <v>319</v>
      </c>
      <c r="I36" s="17">
        <v>295</v>
      </c>
    </row>
  </sheetData>
  <pageMargins left="0.511811024" right="0.511811024" top="0.78740157499999996" bottom="0.78740157499999996" header="0.31496062000000002" footer="0.31496062000000002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Z93"/>
  <sheetViews>
    <sheetView showGridLines="0" tabSelected="1" zoomScale="85" zoomScaleNormal="85" workbookViewId="0">
      <selection activeCell="S40" sqref="S4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27.140625" style="4" customWidth="1"/>
    <col min="2" max="2" width="3.5703125" customWidth="1"/>
    <col min="4" max="4" width="4.28515625" customWidth="1"/>
    <col min="12" max="12" width="6.5703125" customWidth="1"/>
    <col min="16" max="16" width="12.140625" customWidth="1"/>
    <col min="20" max="20" width="10.85546875" customWidth="1"/>
    <col min="21" max="21" width="6.28515625" customWidth="1"/>
  </cols>
  <sheetData>
    <row r="1" spans="1:52" x14ac:dyDescent="0.25"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</row>
    <row r="2" spans="1:52" ht="39" customHeight="1" thickBot="1" x14ac:dyDescent="0.45">
      <c r="B2" s="15"/>
      <c r="C2" s="23" t="s">
        <v>329</v>
      </c>
      <c r="D2" s="24"/>
      <c r="E2" s="20"/>
      <c r="F2" s="20"/>
      <c r="G2" s="20"/>
      <c r="H2" s="20"/>
      <c r="I2" s="20"/>
      <c r="J2" s="20"/>
      <c r="K2" s="20"/>
      <c r="L2" s="20"/>
      <c r="M2" s="20"/>
      <c r="N2" s="21"/>
      <c r="O2" s="21"/>
      <c r="P2" s="21"/>
      <c r="Q2" s="25" t="s">
        <v>333</v>
      </c>
      <c r="R2" s="21"/>
      <c r="S2" s="21"/>
      <c r="T2" s="21"/>
      <c r="U2" s="21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</row>
    <row r="3" spans="1:52" ht="19.5" customHeight="1" thickTop="1" x14ac:dyDescent="0.25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</row>
    <row r="4" spans="1:52" x14ac:dyDescent="0.25"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</row>
    <row r="5" spans="1:52" ht="39" customHeight="1" x14ac:dyDescent="0.25">
      <c r="A5" s="22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</row>
    <row r="6" spans="1:52" ht="8.25" customHeight="1" x14ac:dyDescent="0.25"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</row>
    <row r="7" spans="1:52" ht="7.5" customHeight="1" x14ac:dyDescent="0.25"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</row>
    <row r="8" spans="1:52" ht="10.5" customHeight="1" x14ac:dyDescent="0.25"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</row>
    <row r="9" spans="1:52" ht="9.75" customHeight="1" x14ac:dyDescent="0.25"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</row>
    <row r="10" spans="1:52" ht="33" customHeight="1" x14ac:dyDescent="0.25"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</row>
    <row r="11" spans="1:52" x14ac:dyDescent="0.25"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</row>
    <row r="12" spans="1:52" x14ac:dyDescent="0.25"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</row>
    <row r="13" spans="1:52" x14ac:dyDescent="0.25"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</row>
    <row r="14" spans="1:52" x14ac:dyDescent="0.25">
      <c r="A14" s="16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</row>
    <row r="15" spans="1:52" x14ac:dyDescent="0.25"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</row>
    <row r="16" spans="1:52" x14ac:dyDescent="0.25"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</row>
    <row r="17" spans="2:52" x14ac:dyDescent="0.25"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</row>
    <row r="18" spans="2:52" x14ac:dyDescent="0.25"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</row>
    <row r="19" spans="2:52" x14ac:dyDescent="0.25"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</row>
    <row r="20" spans="2:52" x14ac:dyDescent="0.25"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</row>
    <row r="21" spans="2:52" x14ac:dyDescent="0.25"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</row>
    <row r="22" spans="2:52" x14ac:dyDescent="0.25"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</row>
    <row r="23" spans="2:52" x14ac:dyDescent="0.25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</row>
    <row r="24" spans="2:52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</row>
    <row r="25" spans="2:52" x14ac:dyDescent="0.25"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</row>
    <row r="26" spans="2:52" x14ac:dyDescent="0.25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</row>
    <row r="27" spans="2:52" x14ac:dyDescent="0.25"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</row>
    <row r="28" spans="2:52" x14ac:dyDescent="0.25"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</row>
    <row r="29" spans="2:52" x14ac:dyDescent="0.25"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</row>
    <row r="30" spans="2:52" x14ac:dyDescent="0.25"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</row>
    <row r="31" spans="2:52" x14ac:dyDescent="0.25"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</row>
    <row r="32" spans="2:52" x14ac:dyDescent="0.25"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</row>
    <row r="33" spans="2:52" x14ac:dyDescent="0.25"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</row>
    <row r="34" spans="2:52" x14ac:dyDescent="0.25"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</row>
    <row r="35" spans="2:52" x14ac:dyDescent="0.25"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</row>
    <row r="36" spans="2:52" x14ac:dyDescent="0.25"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</row>
    <row r="37" spans="2:52" x14ac:dyDescent="0.25"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</row>
    <row r="38" spans="2:52" x14ac:dyDescent="0.25"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</row>
    <row r="39" spans="2:52" x14ac:dyDescent="0.25"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</row>
    <row r="40" spans="2:52" x14ac:dyDescent="0.25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</row>
    <row r="41" spans="2:52" x14ac:dyDescent="0.25"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</row>
    <row r="42" spans="2:52" x14ac:dyDescent="0.25"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</row>
    <row r="43" spans="2:52" x14ac:dyDescent="0.25"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</row>
    <row r="44" spans="2:52" x14ac:dyDescent="0.25"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</row>
    <row r="45" spans="2:52" x14ac:dyDescent="0.25"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</row>
    <row r="46" spans="2:52" x14ac:dyDescent="0.25"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</row>
    <row r="47" spans="2:52" x14ac:dyDescent="0.25"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</row>
    <row r="48" spans="2:52" x14ac:dyDescent="0.25"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</row>
    <row r="49" spans="2:52" x14ac:dyDescent="0.25"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</row>
    <row r="50" spans="2:52" x14ac:dyDescent="0.25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</row>
    <row r="51" spans="2:52" x14ac:dyDescent="0.25"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</row>
    <row r="52" spans="2:52" x14ac:dyDescent="0.25"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</row>
    <row r="53" spans="2:52" x14ac:dyDescent="0.25"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</row>
    <row r="54" spans="2:52" x14ac:dyDescent="0.25"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</row>
    <row r="55" spans="2:52" x14ac:dyDescent="0.25"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</row>
    <row r="56" spans="2:52" x14ac:dyDescent="0.25"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</row>
    <row r="57" spans="2:52" x14ac:dyDescent="0.25"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</row>
    <row r="58" spans="2:52" x14ac:dyDescent="0.25"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</row>
    <row r="59" spans="2:52" x14ac:dyDescent="0.25"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</row>
    <row r="60" spans="2:52" x14ac:dyDescent="0.25"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</row>
    <row r="61" spans="2:52" x14ac:dyDescent="0.25"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</row>
    <row r="62" spans="2:52" x14ac:dyDescent="0.25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</row>
    <row r="63" spans="2:52" x14ac:dyDescent="0.25"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</row>
    <row r="64" spans="2:52" x14ac:dyDescent="0.25"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</row>
    <row r="65" spans="2:52" x14ac:dyDescent="0.25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</row>
    <row r="66" spans="2:52" x14ac:dyDescent="0.25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</row>
    <row r="67" spans="2:52" x14ac:dyDescent="0.25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</row>
    <row r="68" spans="2:52" x14ac:dyDescent="0.25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</row>
    <row r="69" spans="2:52" x14ac:dyDescent="0.25"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</row>
    <row r="70" spans="2:52" x14ac:dyDescent="0.25"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</row>
    <row r="71" spans="2:52" x14ac:dyDescent="0.25"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</row>
    <row r="72" spans="2:52" x14ac:dyDescent="0.25"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</row>
    <row r="73" spans="2:52" x14ac:dyDescent="0.25"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</row>
    <row r="74" spans="2:52" x14ac:dyDescent="0.25"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</row>
    <row r="75" spans="2:52" x14ac:dyDescent="0.25"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</row>
    <row r="76" spans="2:52" x14ac:dyDescent="0.25"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</row>
    <row r="77" spans="2:52" x14ac:dyDescent="0.25"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</row>
    <row r="78" spans="2:52" x14ac:dyDescent="0.25"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</row>
    <row r="79" spans="2:52" x14ac:dyDescent="0.25"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</row>
    <row r="80" spans="2:52" x14ac:dyDescent="0.25"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</row>
    <row r="81" spans="2:52" x14ac:dyDescent="0.25"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</row>
    <row r="82" spans="2:52" x14ac:dyDescent="0.25"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</row>
    <row r="83" spans="2:52" x14ac:dyDescent="0.25"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</row>
    <row r="84" spans="2:52" x14ac:dyDescent="0.25"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</row>
    <row r="85" spans="2:52" x14ac:dyDescent="0.25"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</row>
    <row r="86" spans="2:52" x14ac:dyDescent="0.25"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</row>
    <row r="87" spans="2:52" x14ac:dyDescent="0.25"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</row>
    <row r="88" spans="2:52" x14ac:dyDescent="0.25"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</row>
    <row r="89" spans="2:52" x14ac:dyDescent="0.25"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</row>
    <row r="90" spans="2:52" x14ac:dyDescent="0.25"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</row>
    <row r="91" spans="2:52" x14ac:dyDescent="0.25"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</row>
    <row r="92" spans="2:52" x14ac:dyDescent="0.25"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</row>
    <row r="93" spans="2:52" x14ac:dyDescent="0.25"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Luiz Gustavo Freitas</cp:lastModifiedBy>
  <dcterms:created xsi:type="dcterms:W3CDTF">2024-12-19T13:13:10Z</dcterms:created>
  <dcterms:modified xsi:type="dcterms:W3CDTF">2026-05-21T23:39:00Z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